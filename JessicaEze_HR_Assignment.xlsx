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05" yWindow="-105" windowWidth="19425" windowHeight="10425" tabRatio="500" firstSheet="4" activeTab="5"/>
  </bookViews>
  <sheets>
    <sheet name="Total_Net_Salary by Department" sheetId="4" r:id="rId1"/>
    <sheet name="Avg_Salary by Job_Grade" sheetId="3" r:id="rId2"/>
    <sheet name="Employee_Count by Location" sheetId="6" r:id="rId3"/>
    <sheet name="Performance_Distributio by Dept" sheetId="7" r:id="rId4"/>
    <sheet name="Total_Training_Hrs by Dept" sheetId="8" r:id="rId5"/>
    <sheet name="Staff_Records" sheetId="1" r:id="rId6"/>
    <sheet name="Grade_Scale" sheetId="2" r:id="rId7"/>
  </sheets>
  <definedNames>
    <definedName name="_xlcn.WorksheetConnection_Staff_RecordsAX" hidden="1">Staff_Records!$A:$X</definedName>
  </definedNames>
  <calcPr calcId="152511"/>
  <pivotCaches>
    <pivotCache cacheId="0" r:id="rId8"/>
    <pivotCache cacheId="1" r:id="rId9"/>
  </pivotCaches>
  <extLst>
    <ext xmlns:x15="http://schemas.microsoft.com/office/spreadsheetml/2010/11/main" uri="{FCE2AD5D-F65C-4FA6-A056-5C36A1767C68}">
      <x15:dataModel>
        <x15:modelTables>
          <x15:modelTable id="Range-049ec1c6-d029-44ca-a237-d7810722202a" name="Range" connection="WorksheetConnection_Staff_Records!$A:$X"/>
        </x15:modelTables>
      </x15:dataModel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2" i="1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2" i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2" i="1"/>
  <c r="Z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2" i="1"/>
  <c r="Z2" i="1"/>
  <c r="Z6" i="1" l="1"/>
  <c r="Z5" i="1"/>
  <c r="Z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taff_Records!$A:$X" type="102" refreshedVersion="5" minRefreshableVersion="5">
    <extLst>
      <ext xmlns:x15="http://schemas.microsoft.com/office/spreadsheetml/2010/11/main" uri="{DE250136-89BD-433C-8126-D09CA5730AF9}">
        <x15:connection id="Range-049ec1c6-d029-44ca-a237-d7810722202a" autoDelete="1">
          <x15:rangePr sourceName="_xlcn.WorksheetConnection_Staff_RecordsAX"/>
        </x15:connection>
      </ext>
    </extLst>
  </connection>
</connections>
</file>

<file path=xl/sharedStrings.xml><?xml version="1.0" encoding="utf-8"?>
<sst xmlns="http://schemas.openxmlformats.org/spreadsheetml/2006/main" count="688" uniqueCount="211">
  <si>
    <t>Employee_ID</t>
  </si>
  <si>
    <t>Full_Name</t>
  </si>
  <si>
    <t>Department</t>
  </si>
  <si>
    <t>Job_Grade</t>
  </si>
  <si>
    <t>Location</t>
  </si>
  <si>
    <t>Date_Joined</t>
  </si>
  <si>
    <t>Employment_Type</t>
  </si>
  <si>
    <t>Gender</t>
  </si>
  <si>
    <t>Gross_Salary_NGN</t>
  </si>
  <si>
    <t>Tax_NGN</t>
  </si>
  <si>
    <t>Pension_NGN</t>
  </si>
  <si>
    <t>Net_Salary_NGN</t>
  </si>
  <si>
    <t>Days_Leave_Entitled</t>
  </si>
  <si>
    <t>Days_Leave_Taken</t>
  </si>
  <si>
    <t>Days_Leave_Remaining</t>
  </si>
  <si>
    <t>Performance_Score</t>
  </si>
  <si>
    <t>Performance_Rating</t>
  </si>
  <si>
    <t>Training_Hours_2024</t>
  </si>
  <si>
    <t>Exit_Status</t>
  </si>
  <si>
    <t>EMP-001</t>
  </si>
  <si>
    <t>Adaeze Okonkwo</t>
  </si>
  <si>
    <t>Finance</t>
  </si>
  <si>
    <t>Grade 4</t>
  </si>
  <si>
    <t>Lagos</t>
  </si>
  <si>
    <t>Full-Time</t>
  </si>
  <si>
    <t>F</t>
  </si>
  <si>
    <t>Excellent</t>
  </si>
  <si>
    <t>Active</t>
  </si>
  <si>
    <t>EMP-002</t>
  </si>
  <si>
    <t>Babatunde Akande</t>
  </si>
  <si>
    <t>HR</t>
  </si>
  <si>
    <t>Grade 3</t>
  </si>
  <si>
    <t>Abuja</t>
  </si>
  <si>
    <t>M</t>
  </si>
  <si>
    <t>Good</t>
  </si>
  <si>
    <t>EMP-003</t>
  </si>
  <si>
    <t>Chinyere Eze</t>
  </si>
  <si>
    <t>Operations</t>
  </si>
  <si>
    <t>Grade 5</t>
  </si>
  <si>
    <t>EMP-004</t>
  </si>
  <si>
    <t>Damilola Afolabi</t>
  </si>
  <si>
    <t>IT</t>
  </si>
  <si>
    <t>Port Harcourt</t>
  </si>
  <si>
    <t>Contract</t>
  </si>
  <si>
    <t>EMP-005</t>
  </si>
  <si>
    <t>Emeka Nwachukwu</t>
  </si>
  <si>
    <t>lagos</t>
  </si>
  <si>
    <t>EMP-006</t>
  </si>
  <si>
    <t>Fatima Aliyu</t>
  </si>
  <si>
    <t>Grade 2</t>
  </si>
  <si>
    <t>Average</t>
  </si>
  <si>
    <t>EMP-007</t>
  </si>
  <si>
    <t>Grace Okafor</t>
  </si>
  <si>
    <t>EMP-008</t>
  </si>
  <si>
    <t>Hassan Garba</t>
  </si>
  <si>
    <t>EMP-009</t>
  </si>
  <si>
    <t>Ifeoma Chukwu</t>
  </si>
  <si>
    <t>Marketing</t>
  </si>
  <si>
    <t>Needs Review</t>
  </si>
  <si>
    <t>EMP-010</t>
  </si>
  <si>
    <t>James Adeleke</t>
  </si>
  <si>
    <t>Grade 6</t>
  </si>
  <si>
    <t>EMP-011</t>
  </si>
  <si>
    <t>Kemi Balogun</t>
  </si>
  <si>
    <t>Ibadan</t>
  </si>
  <si>
    <t>EMP-012</t>
  </si>
  <si>
    <t>Lawal Musa</t>
  </si>
  <si>
    <t>Kano</t>
  </si>
  <si>
    <t>EMP-013</t>
  </si>
  <si>
    <t>Mercy Osei</t>
  </si>
  <si>
    <t>EMP-014</t>
  </si>
  <si>
    <t>Ngozi Dike</t>
  </si>
  <si>
    <t>Enugu</t>
  </si>
  <si>
    <t>EMP-015</t>
  </si>
  <si>
    <t>Obinna Ike</t>
  </si>
  <si>
    <t>EMP-016</t>
  </si>
  <si>
    <t>Patience Obi</t>
  </si>
  <si>
    <t>EMP-017</t>
  </si>
  <si>
    <t>Quadri Adeyemi</t>
  </si>
  <si>
    <t>LAGOS</t>
  </si>
  <si>
    <t>EMP-018</t>
  </si>
  <si>
    <t>Rashida Umar</t>
  </si>
  <si>
    <t>EMP-019</t>
  </si>
  <si>
    <t>Samuel Taiwo</t>
  </si>
  <si>
    <t>EMP-020</t>
  </si>
  <si>
    <t>Tolu Adesanya</t>
  </si>
  <si>
    <t>EMP-021</t>
  </si>
  <si>
    <t>Uche Onuoha</t>
  </si>
  <si>
    <t>EMP-022</t>
  </si>
  <si>
    <t>Victoria Eze</t>
  </si>
  <si>
    <t>EMP-023</t>
  </si>
  <si>
    <t>Wasiu Bello</t>
  </si>
  <si>
    <t>EMP-024</t>
  </si>
  <si>
    <t>Xenia Okonkwo</t>
  </si>
  <si>
    <t>EMP-025</t>
  </si>
  <si>
    <t>Yusuf Salami</t>
  </si>
  <si>
    <t>EMP-026</t>
  </si>
  <si>
    <t>Zainab Mohammed</t>
  </si>
  <si>
    <t>EMP-027</t>
  </si>
  <si>
    <t>Amara Obi</t>
  </si>
  <si>
    <t>EMP-028</t>
  </si>
  <si>
    <t>Biodun Ogundimu</t>
  </si>
  <si>
    <t>EMP-029</t>
  </si>
  <si>
    <t>Chioma Nwosu</t>
  </si>
  <si>
    <t>EMP-030</t>
  </si>
  <si>
    <t>David Okafor</t>
  </si>
  <si>
    <t>EMP-031</t>
  </si>
  <si>
    <t>Eno Effiong</t>
  </si>
  <si>
    <t>EMP-032</t>
  </si>
  <si>
    <t>Femi Adebayo</t>
  </si>
  <si>
    <t>EMP-033</t>
  </si>
  <si>
    <t>Gloria Nze</t>
  </si>
  <si>
    <t>EMP-034</t>
  </si>
  <si>
    <t>Henry Obi</t>
  </si>
  <si>
    <t>EMP-035</t>
  </si>
  <si>
    <t>Ify Nkemdirim</t>
  </si>
  <si>
    <t>EMP-036</t>
  </si>
  <si>
    <t>Julius Adeyinka</t>
  </si>
  <si>
    <t>Exited</t>
  </si>
  <si>
    <t>EMP-037</t>
  </si>
  <si>
    <t>Kola Akinwale</t>
  </si>
  <si>
    <t>EMP-038</t>
  </si>
  <si>
    <t>Lola Fashola</t>
  </si>
  <si>
    <t>EMP-039</t>
  </si>
  <si>
    <t>Moses Adamu</t>
  </si>
  <si>
    <t>EMP-040</t>
  </si>
  <si>
    <t>Nkechi Okonkwo</t>
  </si>
  <si>
    <t>EMP-041</t>
  </si>
  <si>
    <t>Osaro Osagie</t>
  </si>
  <si>
    <t>Benin</t>
  </si>
  <si>
    <t>EMP-042</t>
  </si>
  <si>
    <t>Priscilla Udo</t>
  </si>
  <si>
    <t>EMP-043</t>
  </si>
  <si>
    <t>Rafiu Olanrewaju</t>
  </si>
  <si>
    <t>EMP-044</t>
  </si>
  <si>
    <t>Sandra Ekwueme</t>
  </si>
  <si>
    <t>EMP-045</t>
  </si>
  <si>
    <t>Taiwo Olawale</t>
  </si>
  <si>
    <t>EMP-046</t>
  </si>
  <si>
    <t>Uzo Agwu</t>
  </si>
  <si>
    <t>EMP-047</t>
  </si>
  <si>
    <t>Vincent Okwu</t>
  </si>
  <si>
    <t>EMP-048</t>
  </si>
  <si>
    <t>Wunmi Abiodun</t>
  </si>
  <si>
    <t>EMP-049</t>
  </si>
  <si>
    <t>Xavier Obi</t>
  </si>
  <si>
    <t>EMP-050</t>
  </si>
  <si>
    <t>Yetunde Adegoke</t>
  </si>
  <si>
    <t>EMP-051</t>
  </si>
  <si>
    <t>Zara Musa</t>
  </si>
  <si>
    <t>EMP-052</t>
  </si>
  <si>
    <t>Akin Salau</t>
  </si>
  <si>
    <t>EMP-053</t>
  </si>
  <si>
    <t>Bisi Ogundele</t>
  </si>
  <si>
    <t>EMP-054</t>
  </si>
  <si>
    <t>Chidi Okafor</t>
  </si>
  <si>
    <t>EMP-055</t>
  </si>
  <si>
    <t>Dapo Adesanya</t>
  </si>
  <si>
    <t>EMP-056</t>
  </si>
  <si>
    <t>Eucharia Nweke</t>
  </si>
  <si>
    <t>EMP-057</t>
  </si>
  <si>
    <t>Fola Ogunleye</t>
  </si>
  <si>
    <t>EMP-058</t>
  </si>
  <si>
    <t>Gbenga Adeyemi</t>
  </si>
  <si>
    <t>EMP-059</t>
  </si>
  <si>
    <t>Hauwa Abubakar</t>
  </si>
  <si>
    <t>EMP-060</t>
  </si>
  <si>
    <t>Ifeanyi Obi</t>
  </si>
  <si>
    <t>EMP-061</t>
  </si>
  <si>
    <t>Joy Eze</t>
  </si>
  <si>
    <t>EMP-062</t>
  </si>
  <si>
    <t>Kunle Adekoya</t>
  </si>
  <si>
    <t>EMP-063</t>
  </si>
  <si>
    <t>Lilian Okonkwo</t>
  </si>
  <si>
    <t>EMP-064</t>
  </si>
  <si>
    <t>Mike Adamu</t>
  </si>
  <si>
    <t>EMP-065</t>
  </si>
  <si>
    <t>Ngozi Abiodun</t>
  </si>
  <si>
    <t>hr</t>
  </si>
  <si>
    <t>Grade_Label</t>
  </si>
  <si>
    <t>Min_Salary_NGN</t>
  </si>
  <si>
    <t>Max_Salary_NGN</t>
  </si>
  <si>
    <t>Pension_Rate</t>
  </si>
  <si>
    <t>Tax_Rate</t>
  </si>
  <si>
    <t>Annual_Leave_Days</t>
  </si>
  <si>
    <t>Grade 1</t>
  </si>
  <si>
    <t>Junior</t>
  </si>
  <si>
    <t>Associate</t>
  </si>
  <si>
    <t>Senior Associate</t>
  </si>
  <si>
    <t>Manager</t>
  </si>
  <si>
    <t>Senior Manager</t>
  </si>
  <si>
    <t>Director</t>
  </si>
  <si>
    <t>Total Gross Salary</t>
  </si>
  <si>
    <t>Total Net Salary</t>
  </si>
  <si>
    <t>Average Gross Salary</t>
  </si>
  <si>
    <t>Highest Net Salary</t>
  </si>
  <si>
    <t>Lowest Net Salary</t>
  </si>
  <si>
    <t>Leave_Status</t>
  </si>
  <si>
    <t>Performance_Level</t>
  </si>
  <si>
    <t>Year_Joined</t>
  </si>
  <si>
    <t>Month_Joined</t>
  </si>
  <si>
    <t>Number_of_Years_inCompany</t>
  </si>
  <si>
    <t>Expected_Pension</t>
  </si>
  <si>
    <t>Deduction_Check</t>
  </si>
  <si>
    <t>Row Labels</t>
  </si>
  <si>
    <t>Grand Total</t>
  </si>
  <si>
    <t>Sum of Net_Salary_NGN</t>
  </si>
  <si>
    <t>Average of Gross_Salary_NGN</t>
  </si>
  <si>
    <t>Count of Employee_ID</t>
  </si>
  <si>
    <t>Count of Performance_Rating</t>
  </si>
  <si>
    <t>Sum of Training_Hours_2024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</si>
</sst>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F800]dddd\,\ mmmm\ dd\,\ yyyy"/>
    <numFmt numFmtId="165" formatCode="[$₦-466]\ #,##0"/>
    <numFmt numFmtId="166" formatCode="[$₦-468]\ #,##0"/>
    <numFmt numFmtId="167" formatCode="[$₦-46A]#,##0"/>
    <numFmt numFmtId="168" formatCode="[$₦-471]\ #,##0"/>
    <numFmt numFmtId="169" formatCode="[$₦-470]#,##0.0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1E293B"/>
      <name val="Arial"/>
      <charset val="1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1E40AF"/>
        <bgColor rgb="FF1E3A5F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164" fontId="2" fillId="4" borderId="2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left" vertical="center" wrapText="1"/>
    </xf>
    <xf numFmtId="165" fontId="2" fillId="4" borderId="2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left" vertical="center" wrapText="1"/>
    </xf>
    <xf numFmtId="166" fontId="2" fillId="4" borderId="2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7" fontId="1" fillId="2" borderId="1" xfId="0" applyNumberFormat="1" applyFont="1" applyFill="1" applyBorder="1" applyAlignment="1">
      <alignment horizontal="center" vertical="center" wrapText="1"/>
    </xf>
    <xf numFmtId="167" fontId="2" fillId="3" borderId="2" xfId="0" applyNumberFormat="1" applyFont="1" applyFill="1" applyBorder="1" applyAlignment="1">
      <alignment horizontal="left" vertical="center" wrapText="1"/>
    </xf>
    <xf numFmtId="167" fontId="2" fillId="4" borderId="2" xfId="0" applyNumberFormat="1" applyFont="1" applyFill="1" applyBorder="1" applyAlignment="1">
      <alignment horizontal="left" vertical="center" wrapText="1"/>
    </xf>
    <xf numFmtId="167" fontId="0" fillId="0" borderId="0" xfId="0" applyNumberFormat="1"/>
    <xf numFmtId="168" fontId="1" fillId="2" borderId="1" xfId="0" applyNumberFormat="1" applyFont="1" applyFill="1" applyBorder="1" applyAlignment="1">
      <alignment horizontal="center" vertical="center" wrapText="1"/>
    </xf>
    <xf numFmtId="168" fontId="2" fillId="3" borderId="2" xfId="0" applyNumberFormat="1" applyFont="1" applyFill="1" applyBorder="1" applyAlignment="1">
      <alignment horizontal="left" vertical="center" wrapText="1"/>
    </xf>
    <xf numFmtId="168" fontId="0" fillId="0" borderId="0" xfId="0" applyNumberFormat="1"/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6" borderId="0" xfId="0" applyNumberFormat="1" applyFont="1" applyFill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6" fillId="0" borderId="0" xfId="0" applyNumberFormat="1" applyFont="1"/>
    <xf numFmtId="165" fontId="0" fillId="0" borderId="0" xfId="0" applyNumberFormat="1" applyAlignment="1">
      <alignment horizontal="left"/>
    </xf>
    <xf numFmtId="0" fontId="6" fillId="0" borderId="0" xfId="0" applyNumberFormat="1" applyFont="1" applyFill="1" applyBorder="1"/>
    <xf numFmtId="168" fontId="0" fillId="0" borderId="0" xfId="0" applyNumberFormat="1" applyAlignment="1">
      <alignment horizontal="left"/>
    </xf>
    <xf numFmtId="168" fontId="0" fillId="0" borderId="0" xfId="0" applyNumberFormat="1" applyAlignment="1">
      <alignment horizontal="left" vertical="top"/>
    </xf>
    <xf numFmtId="0" fontId="0" fillId="0" borderId="0" xfId="0" applyNumberFormat="1" applyFont="1"/>
    <xf numFmtId="49" fontId="2" fillId="0" borderId="2" xfId="0" applyNumberFormat="1" applyFont="1" applyFill="1" applyBorder="1" applyAlignment="1">
      <alignment horizontal="left" vertical="center" wrapText="1"/>
    </xf>
    <xf numFmtId="0" fontId="7" fillId="0" borderId="0" xfId="0" applyNumberFormat="1" applyFont="1"/>
    <xf numFmtId="0" fontId="8" fillId="0" borderId="0" xfId="0" applyNumberFormat="1" applyFont="1"/>
    <xf numFmtId="14" fontId="3" fillId="2" borderId="3" xfId="0" applyNumberFormat="1" applyFont="1" applyFill="1" applyBorder="1" applyAlignment="1">
      <alignment horizontal="center" vertical="center" wrapText="1"/>
    </xf>
    <xf numFmtId="14" fontId="8" fillId="0" borderId="0" xfId="0" applyNumberFormat="1" applyFont="1"/>
    <xf numFmtId="14" fontId="0" fillId="0" borderId="0" xfId="0" applyNumberFormat="1" applyFont="1"/>
    <xf numFmtId="0" fontId="3" fillId="2" borderId="3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14" fontId="3" fillId="2" borderId="3" xfId="0" applyNumberFormat="1" applyFont="1" applyFill="1" applyBorder="1" applyAlignment="1">
      <alignment horizontal="left" vertical="center" wrapText="1"/>
    </xf>
    <xf numFmtId="14" fontId="0" fillId="0" borderId="0" xfId="0" applyNumberFormat="1" applyFont="1" applyAlignment="1">
      <alignment horizontal="left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numFmt numFmtId="169" formatCode="[$₦-470]#,##0.00"/>
    </dxf>
    <dxf>
      <numFmt numFmtId="169" formatCode="[$₦-470]#,##0.00"/>
    </dxf>
    <dxf>
      <numFmt numFmtId="165" formatCode="[$₦-466]\ #,##0"/>
    </dxf>
    <dxf>
      <numFmt numFmtId="165" formatCode="[$₦-466]\ #,##0"/>
    </dxf>
    <dxf>
      <alignment horizontal="left" readingOrder="0"/>
    </dxf>
    <dxf>
      <alignment horizontal="left" readingOrder="0"/>
    </dxf>
    <dxf>
      <alignment vertical="top" readingOrder="0"/>
    </dxf>
    <dxf>
      <alignment vertical="top" readingOrder="0"/>
    </dxf>
    <dxf>
      <numFmt numFmtId="170" formatCode="_-[$₦-470]* #,##0_-;\-[$₦-470]* #,##0_-;_-[$₦-470]* &quot;-&quot;??_-;_-@_-"/>
    </dxf>
    <dxf>
      <numFmt numFmtId="170" formatCode="_-[$₦-470]* #,##0_-;\-[$₦-470]* #,##0_-;_-[$₦-470]* &quot;-&quot;??_-;_-@_-"/>
    </dxf>
    <dxf>
      <numFmt numFmtId="171" formatCode="_-[$₦-466]\ * #,##0.00_-;\-[$₦-466]\ * #,##0.00_-;_-[$₦-466]\ * &quot;-&quot;??_-;_-@_-"/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C3AED"/>
      <rgbColor rgb="FFFEF3C7"/>
      <rgbColor rgb="FFDCFCE7"/>
      <rgbColor rgb="FF660066"/>
      <rgbColor rgb="FFFF8080"/>
      <rgbColor rgb="FF0369A1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8FAF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55555"/>
      <rgbColor rgb="FF94A3B8"/>
      <rgbColor rgb="FF1E3A5F"/>
      <rgbColor rgb="FF16A34A"/>
      <rgbColor rgb="FF1B2A4A"/>
      <rgbColor rgb="FF1E293B"/>
      <rgbColor rgb="FF993300"/>
      <rgbColor rgb="FF993366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[JessicaEze_HR_Assignment.xlsx]Total_Net_Salary by Department!PivotTable2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Total_Net_Salary</a:t>
            </a:r>
            <a:r>
              <a:rPr lang="en-US" baseline="0"/>
              <a:t>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'Total_Net_Salary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'Total_Net_Salary by Department'!$A$4:$A$9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'Total_Net_Salary by Department'!$B$4:$B$9</c:f>
              <c:numCache>
                <c:formatCode>[$₦-466]\ #,##0</c:formatCode>
                <c:ptCount val="5"/>
                <c:pt idx="0">
                  <c:v>5013500</c:v>
                </c:pt>
                <c:pt idx="1">
                  <c:v>3019200</c:v>
                </c:pt>
                <c:pt idx="2">
                  <c:v>4232800</c:v>
                </c:pt>
                <c:pt idx="3">
                  <c:v>2997000</c:v>
                </c:pt>
                <c:pt idx="4">
                  <c:v>4236500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466880"/>
        <c:axId val="318487496"/>
      </c:barChart>
      <c:catAx>
        <c:axId val="31846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Department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87496"/>
        <c:crosses val="autoZero"/>
        <c:auto val="1"/>
        <c:lblAlgn val="ctr"/>
        <c:lblOffset val="100"/>
        <c:noMultiLvlLbl val="0"/>
      </c:catAx>
      <c:valAx>
        <c:axId val="31848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Total_Net_Salary</a:t>
                </a:r>
              </a:p>
            </c:rich>
          </c:tx>
          <c:layout>
            <c:manualLayout>
              <c:xMode val="edge"/>
              <c:yMode val="edge"/>
              <c:x val="2.4732991686386374E-2"/>
              <c:y val="0.24585510638153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₦-466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4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[JessicaEze_HR_Assignment.xlsx]Avg_Salary by Job_Grade!PivotTable1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Average_Salary</a:t>
            </a:r>
            <a:r>
              <a:rPr lang="en-US" baseline="0"/>
              <a:t> by Job Grade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'Avg_Salary by Job_Grade'!$B$3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'Avg_Salary by Job_Grade'!$A$4:$A$9</c:f>
              <c:strCache>
                <c:ptCount val="5"/>
                <c:pt idx="0">
                  <c:v>Grade 2</c:v>
                </c:pt>
                <c:pt idx="1">
                  <c:v>Grade 3</c:v>
                </c:pt>
                <c:pt idx="2">
                  <c:v>Grade 4</c:v>
                </c:pt>
                <c:pt idx="3">
                  <c:v>Grade 5</c:v>
                </c:pt>
                <c:pt idx="4">
                  <c:v>Grade 6</c:v>
                </c:pt>
              </c:strCache>
            </c:strRef>
          </c:cat>
          <c:val>
            <c:numRef>
              <c:f>'Avg_Salary by Job_Grade'!$B$4:$B$9</c:f>
              <c:numCache>
                <c:formatCode>[$₦-470]#,##0.00</c:formatCode>
                <c:ptCount val="5"/>
                <c:pt idx="0">
                  <c:v>207272.72727272726</c:v>
                </c:pt>
                <c:pt idx="1">
                  <c:v>301190.47619047621</c:v>
                </c:pt>
                <c:pt idx="2">
                  <c:v>401666.66666666669</c:v>
                </c:pt>
                <c:pt idx="3">
                  <c:v>572916.66666666663</c:v>
                </c:pt>
                <c:pt idx="4">
                  <c:v>910000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105760"/>
        <c:axId val="318116400"/>
      </c:barChart>
      <c:catAx>
        <c:axId val="31810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16400"/>
        <c:crosses val="autoZero"/>
        <c:auto val="1"/>
        <c:lblAlgn val="ctr"/>
        <c:lblOffset val="100"/>
        <c:noMultiLvlLbl val="0"/>
      </c:catAx>
      <c:valAx>
        <c:axId val="3181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70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0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[JessicaEze_HR_Assignment.xlsx]Employee_Count by Location!PivotTable3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'Employee_Count by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cat>
            <c:strRef>
              <c:f>'Employee_Count by Location'!$A$4:$A$11</c:f>
              <c:strCache>
                <c:ptCount val="7"/>
                <c:pt idx="0">
                  <c:v>Abuja</c:v>
                </c:pt>
                <c:pt idx="1">
                  <c:v>Benin</c:v>
                </c:pt>
                <c:pt idx="2">
                  <c:v>Enugu</c:v>
                </c:pt>
                <c:pt idx="3">
                  <c:v>Ibadan</c:v>
                </c:pt>
                <c:pt idx="4">
                  <c:v>Kano</c:v>
                </c:pt>
                <c:pt idx="5">
                  <c:v>Lagos</c:v>
                </c:pt>
                <c:pt idx="6">
                  <c:v>Port Harcourt</c:v>
                </c:pt>
              </c:strCache>
            </c:strRef>
          </c:cat>
          <c:val>
            <c:numRef>
              <c:f>'Employee_Count by Location'!$B$4:$B$11</c:f>
              <c:numCache>
                <c:formatCode>General</c:formatCode>
                <c:ptCount val="7"/>
                <c:pt idx="0">
                  <c:v>15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31</c:v>
                </c:pt>
                <c:pt idx="6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79243110127036"/>
          <c:y val="0.15840054806061307"/>
          <c:w val="0.23432384942207415"/>
          <c:h val="0.8014557537494513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[JessicaEze_HR_Assignment.xlsx]Performance_Distributio by Dept!PivotTable4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Performance_Rating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'Performance_Distributio by Dept'!$B$3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'Performance_Distributio by Dept'!$A$4:$A$9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'Performance_Distributio by Dept'!$B$4:$B$9</c:f>
              <c:numCache>
                <c:formatCode>General</c:formatCode>
                <c:ptCount val="5"/>
                <c:pt idx="0">
                  <c:v>14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86111111111107"/>
          <c:y val="0.23596437796192665"/>
          <c:w val="0.25347222222222221"/>
          <c:h val="0.6292361569726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[JessicaEze_HR_Assignment.xlsx]Total_Training_Hrs by Dept!PivotTable5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Total_Traing_Hours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'Total_Training_Hrs by Dept'!$B$3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'Total_Training_Hrs by Dept'!$A$4:$A$9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</c:strCache>
            </c:strRef>
          </c:cat>
          <c:val>
            <c:numRef>
              <c:f>'Total_Training_Hrs by Dept'!$B$4:$B$9</c:f>
              <c:numCache>
                <c:formatCode>General</c:formatCode>
                <c:ptCount val="5"/>
                <c:pt idx="0">
                  <c:v>387</c:v>
                </c:pt>
                <c:pt idx="1">
                  <c:v>200</c:v>
                </c:pt>
                <c:pt idx="2">
                  <c:v>301</c:v>
                </c:pt>
                <c:pt idx="3">
                  <c:v>196</c:v>
                </c:pt>
                <c:pt idx="4">
                  <c:v>292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314840"/>
        <c:axId val="319315224"/>
      </c:lineChart>
      <c:catAx>
        <c:axId val="319314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15224"/>
        <c:crosses val="autoZero"/>
        <c:auto val="1"/>
        <c:lblAlgn val="ctr"/>
        <c:lblOffset val="100"/>
        <c:noMultiLvlLbl val="0"/>
      </c:catAx>
      <c:valAx>
        <c:axId val="31931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Traing_Hours</a:t>
                </a:r>
              </a:p>
            </c:rich>
          </c:tx>
          <c:layout>
            <c:manualLayout>
              <c:xMode val="edge"/>
              <c:yMode val="edge"/>
              <c:x val="2.7388730586252151E-2"/>
              <c:y val="0.35657119160578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31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704849</xdr:colOff>
      <xdr:row>0</xdr:row>
      <xdr:rowOff>185737</xdr:rowOff>
    </xdr:from>
    <xdr:to>
      <xdr:col>10</xdr:col>
      <xdr:colOff>447675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0</xdr:row>
      <xdr:rowOff>119061</xdr:rowOff>
    </xdr:from>
    <xdr:to>
      <xdr:col>10</xdr:col>
      <xdr:colOff>52387</xdr:colOff>
      <xdr:row>16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0</xdr:row>
      <xdr:rowOff>180975</xdr:rowOff>
    </xdr:from>
    <xdr:to>
      <xdr:col>11</xdr:col>
      <xdr:colOff>200025</xdr:colOff>
      <xdr:row>17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176212</xdr:colOff>
      <xdr:row>0</xdr:row>
      <xdr:rowOff>171450</xdr:rowOff>
    </xdr:from>
    <xdr:to>
      <xdr:col>7</xdr:col>
      <xdr:colOff>547687</xdr:colOff>
      <xdr:row>19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</xdr:colOff>
      <xdr:row>2</xdr:row>
      <xdr:rowOff>128587</xdr:rowOff>
    </xdr:from>
    <xdr:to>
      <xdr:col>11</xdr:col>
      <xdr:colOff>276225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27.148908101852" createdVersion="5" refreshedVersion="5" minRefreshableVersion="3" recordCount="67">
  <cacheSource type="worksheet">
    <worksheetSource ref="A1:X1048576" sheet="Staff_Records"/>
  </cacheSource>
  <cacheFields count="24">
    <cacheField name="Employee_ID" numFmtId="0">
      <sharedItems containsBlank="1"/>
    </cacheField>
    <cacheField name="Full_Name" numFmtId="49">
      <sharedItems containsBlank="1"/>
    </cacheField>
    <cacheField name="Department" numFmtId="0">
      <sharedItems containsBlank="1" count="6">
        <s v="Finance"/>
        <s v="HR"/>
        <s v="Operations"/>
        <s v="IT"/>
        <s v="Marketing"/>
        <m/>
      </sharedItems>
    </cacheField>
    <cacheField name="Job_Grade" numFmtId="0">
      <sharedItems containsBlank="1" count="6">
        <s v="Grade 4"/>
        <s v="Grade 3"/>
        <s v="Grade 5"/>
        <s v="Grade 2"/>
        <s v="Grade 6"/>
        <m/>
      </sharedItems>
    </cacheField>
    <cacheField name="Location" numFmtId="0">
      <sharedItems containsBlank="1" count="8">
        <s v="Lagos"/>
        <s v="Abuja"/>
        <s v="Port Harcourt"/>
        <s v="Ibadan"/>
        <s v="Kano"/>
        <s v="Enugu"/>
        <s v="Benin"/>
        <m/>
      </sharedItems>
    </cacheField>
    <cacheField name="Date_Joined" numFmtId="164">
      <sharedItems containsNonDate="0" containsDate="1" containsString="0" containsBlank="1" minDate="2012-08-30T00:00:00" maxDate="2023-08-02T00:00:00"/>
    </cacheField>
    <cacheField name="Employment_Type" numFmtId="0">
      <sharedItems containsBlank="1"/>
    </cacheField>
    <cacheField name="Gender" numFmtId="0">
      <sharedItems containsBlank="1"/>
    </cacheField>
    <cacheField name="Gross_Salary_NGN" numFmtId="165">
      <sharedItems containsString="0" containsBlank="1" containsNumber="1" containsInteger="1" minValue="195000" maxValue="980000" count="44">
        <n v="420000"/>
        <n v="310000"/>
        <n v="580000"/>
        <n v="275000"/>
        <n v="620000"/>
        <n v="220000"/>
        <n v="305000"/>
        <n v="410000"/>
        <n v="295000"/>
        <n v="850000"/>
        <n v="195000"/>
        <n v="390000"/>
        <n v="315000"/>
        <n v="405000"/>
        <n v="590000"/>
        <n v="215000"/>
        <n v="385000"/>
        <n v="210000"/>
        <n v="320000"/>
        <n v="920000"/>
        <n v="415000"/>
        <n v="560000"/>
        <n v="400000"/>
        <n v="205000"/>
        <n v="610000"/>
        <n v="395000"/>
        <n v="575000"/>
        <n v="380000"/>
        <n v="290000"/>
        <n v="540000"/>
        <n v="270000"/>
        <n v="300000"/>
        <n v="980000"/>
        <n v="200000"/>
        <n v="555000"/>
        <n v="280000"/>
        <n v="545000"/>
        <n v="890000"/>
        <n v="325000"/>
        <n v="530000"/>
        <n v="285000"/>
        <n v="570000"/>
        <n v="600000"/>
        <m/>
      </sharedItems>
    </cacheField>
    <cacheField name="Tax_NGN" numFmtId="166">
      <sharedItems containsString="0" containsBlank="1" containsNumber="1" containsInteger="1" minValue="29250" maxValue="147000"/>
    </cacheField>
    <cacheField name="Pension_NGN" numFmtId="167">
      <sharedItems containsString="0" containsBlank="1" containsNumber="1" containsInteger="1" minValue="21450" maxValue="107800"/>
    </cacheField>
    <cacheField name="Net_Salary_NGN" numFmtId="168">
      <sharedItems containsString="0" containsBlank="1" containsNumber="1" containsInteger="1" minValue="144300" maxValue="725200"/>
    </cacheField>
    <cacheField name="Days_Leave_Entitled" numFmtId="0">
      <sharedItems containsString="0" containsBlank="1" containsNumber="1" containsInteger="1" minValue="14" maxValue="21"/>
    </cacheField>
    <cacheField name="Days_Leave_Taken" numFmtId="0">
      <sharedItems containsString="0" containsBlank="1" containsNumber="1" containsInteger="1" minValue="0" maxValue="21"/>
    </cacheField>
    <cacheField name="Days_Leave_Remaining" numFmtId="0">
      <sharedItems containsString="0" containsBlank="1" containsNumber="1" containsInteger="1" minValue="0" maxValue="21"/>
    </cacheField>
    <cacheField name="Performance_Score" numFmtId="0">
      <sharedItems containsString="0" containsBlank="1" containsNumber="1" containsInteger="1" minValue="0" maxValue="97" count="40">
        <n v="88"/>
        <n v="74"/>
        <n v="92"/>
        <n v="68"/>
        <n v="95"/>
        <n v="55"/>
        <n v="79"/>
        <n v="85"/>
        <n v="0"/>
        <n v="96"/>
        <n v="62"/>
        <n v="77"/>
        <n v="81"/>
        <n v="89"/>
        <n v="91"/>
        <n v="58"/>
        <n v="70"/>
        <n v="76"/>
        <n v="94"/>
        <n v="83"/>
        <n v="90"/>
        <n v="78"/>
        <n v="72"/>
        <n v="65"/>
        <n v="60"/>
        <n v="75"/>
        <n v="80"/>
        <n v="82"/>
        <n v="93"/>
        <n v="73"/>
        <n v="86"/>
        <n v="71"/>
        <n v="97"/>
        <n v="52"/>
        <n v="84"/>
        <n v="87"/>
        <n v="69"/>
        <n v="50"/>
        <n v="66"/>
        <m/>
      </sharedItems>
    </cacheField>
    <cacheField name="Performance_Rating" numFmtId="0">
      <sharedItems containsBlank="1" count="5">
        <s v="Excellent"/>
        <s v="Good"/>
        <s v="Average"/>
        <s v="Needs Review"/>
        <m/>
      </sharedItems>
    </cacheField>
    <cacheField name="Training_Hours_2024" numFmtId="0">
      <sharedItems containsString="0" containsBlank="1" containsNumber="1" containsInteger="1" minValue="0" maxValue="55"/>
    </cacheField>
    <cacheField name="Exit_Status" numFmtId="49">
      <sharedItems containsBlank="1"/>
    </cacheField>
    <cacheField name="Leave_Status" numFmtId="0">
      <sharedItems containsBlank="1"/>
    </cacheField>
    <cacheField name="Performance_Level" numFmtId="0">
      <sharedItems containsBlank="1"/>
    </cacheField>
    <cacheField name="Year_Joined" numFmtId="0">
      <sharedItems containsString="0" containsBlank="1" containsNumber="1" containsInteger="1" minValue="2012" maxValue="2023"/>
    </cacheField>
    <cacheField name="Month_Joined" numFmtId="14">
      <sharedItems containsBlank="1"/>
    </cacheField>
    <cacheField name="Number_of_Years_inCompany" numFmtId="0">
      <sharedItems containsString="0" containsBlank="1" containsNumber="1" containsInteger="1" minValue="2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HP" refreshedDate="46127.167246643519" backgroundQuery="1" createdVersion="5" refreshedVersion="5" minRefreshableVersion="3" recordCount="0" supportSubquery="1" supportAdvancedDrill="1">
  <cacheSource type="external" connectionId="1"/>
  <cacheFields count="2">
    <cacheField name="[Range].[Department].[Department]" caption="Department" numFmtId="0" hierarchy="2" level="1">
      <sharedItems count="5">
        <s v="Finance"/>
        <s v="HR"/>
        <s v="IT"/>
        <s v="Marketing"/>
        <s v="Operations"/>
      </sharedItems>
    </cacheField>
    <cacheField name="[Measures].[Sum of Net_Salary_NGN]" caption="Sum of Net_Salary_NGN" numFmtId="0" hierarchy="25" level="32767"/>
  </cacheFields>
  <cacheHierarchies count="29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Full_Name]" caption="Full_Name" attribute="1" defaultMemberUniqueName="[Range].[Full_Name].[All]" allUniqueName="[Range].[Full_Name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b_Grade]" caption="Job_Grade" attribute="1" defaultMemberUniqueName="[Range].[Job_Grade].[All]" allUniqueName="[Range].[Job_Grade].[All]" dimensionUniqueName="[Range]" displayFolder="" count="2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Date_Joined]" caption="Date_Joined" attribute="1" time="1" defaultMemberUniqueName="[Range].[Date_Joined].[All]" allUniqueName="[Range].[Date_Joined].[All]" dimensionUniqueName="[Range]" displayFolder="" count="0" memberValueDatatype="7" unbalanced="0"/>
    <cacheHierarchy uniqueName="[Range].[Employment_Type]" caption="Employment_Type" attribute="1" defaultMemberUniqueName="[Range].[Employment_Type].[All]" allUniqueName="[Range].[Employment_Typ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Gross_Salary_NGN]" caption="Gross_Salary_NGN" attribute="1" defaultMemberUniqueName="[Range].[Gross_Salary_NGN].[All]" allUniqueName="[Range].[Gross_Salary_NGN].[All]" dimensionUniqueName="[Range]" displayFolder="" count="0" memberValueDatatype="20" unbalanced="0"/>
    <cacheHierarchy uniqueName="[Range].[Tax_NGN]" caption="Tax_NGN" attribute="1" defaultMemberUniqueName="[Range].[Tax_NGN].[All]" allUniqueName="[Range].[Tax_NGN].[All]" dimensionUniqueName="[Range]" displayFolder="" count="0" memberValueDatatype="20" unbalanced="0"/>
    <cacheHierarchy uniqueName="[Range].[Pension_NGN]" caption="Pension_NGN" attribute="1" defaultMemberUniqueName="[Range].[Pension_NGN].[All]" allUniqueName="[Range].[Pension_NGN].[All]" dimensionUniqueName="[Range]" displayFolder="" count="0" memberValueDatatype="20" unbalanced="0"/>
    <cacheHierarchy uniqueName="[Range].[Net_Salary_NGN]" caption="Net_Salary_NGN" attribute="1" defaultMemberUniqueName="[Range].[Net_Salary_NGN].[All]" allUniqueName="[Range].[Net_Salary_NGN].[All]" dimensionUniqueName="[Range]" displayFolder="" count="0" memberValueDatatype="20" unbalanced="0"/>
    <cacheHierarchy uniqueName="[Range].[Days_Leave_Entitled]" caption="Days_Leave_Entitled" attribute="1" defaultMemberUniqueName="[Range].[Days_Leave_Entitled].[All]" allUniqueName="[Range].[Days_Leave_Entitled].[All]" dimensionUniqueName="[Range]" displayFolder="" count="0" memberValueDatatype="20" unbalanced="0"/>
    <cacheHierarchy uniqueName="[Range].[Days_Leave_Taken]" caption="Days_Leave_Taken" attribute="1" defaultMemberUniqueName="[Range].[Days_Leave_Taken].[All]" allUniqueName="[Range].[Days_Leave_Taken].[All]" dimensionUniqueName="[Range]" displayFolder="" count="0" memberValueDatatype="20" unbalanced="0"/>
    <cacheHierarchy uniqueName="[Range].[Days_Leave_Remaining]" caption="Days_Leave_Remaining" attribute="1" defaultMemberUniqueName="[Range].[Days_Leave_Remaining].[All]" allUniqueName="[Range].[Days_Leave_Remaining].[All]" dimensionUniqueName="[Range]" displayFolder="" count="0" memberValueDatatype="20" unbalanced="0"/>
    <cacheHierarchy uniqueName="[Range].[Performance_Score]" caption="Performance_Score" attribute="1" defaultMemberUniqueName="[Range].[Performance_Score].[All]" allUniqueName="[Range].[Performance_Score].[All]" dimensionUniqueName="[Range]" displayFolder="" count="0" memberValueDatatype="20" unbalanced="0"/>
    <cacheHierarchy uniqueName="[Range].[Performance_Rating]" caption="Performance_Rating" attribute="1" defaultMemberUniqueName="[Range].[Performance_Rating].[All]" allUniqueName="[Range].[Performance_Rating].[All]" dimensionUniqueName="[Range]" displayFolder="" count="0" memberValueDatatype="130" unbalanced="0"/>
    <cacheHierarchy uniqueName="[Range].[Training_Hours_2024]" caption="Training_Hours_2024" attribute="1" defaultMemberUniqueName="[Range].[Training_Hours_2024].[All]" allUniqueName="[Range].[Training_Hours_2024].[All]" dimensionUniqueName="[Range]" displayFolder="" count="0" memberValueDatatype="20" unbalanced="0"/>
    <cacheHierarchy uniqueName="[Range].[Exit_Status]" caption="Exit_Status" attribute="1" defaultMemberUniqueName="[Range].[Exit_Status].[All]" allUniqueName="[Range].[Exit_Status].[All]" dimensionUniqueName="[Range]" displayFolder="" count="0" memberValueDatatype="130" unbalanced="0"/>
    <cacheHierarchy uniqueName="[Range].[Leave_Status]" caption="Leave_Status" attribute="1" defaultMemberUniqueName="[Range].[Leave_Status].[All]" allUniqueName="[Range].[Leave_Status].[All]" dimensionUniqueName="[Range]" displayFolder="" count="0" memberValueDatatype="130" unbalanced="0"/>
    <cacheHierarchy uniqueName="[Range].[Performance_Level]" caption="Performance_Level" attribute="1" defaultMemberUniqueName="[Range].[Performance_Level].[All]" allUniqueName="[Range].[Performance_Level].[All]" dimensionUniqueName="[Range]" displayFolder="" count="0" memberValueDatatype="130" unbalanced="0"/>
    <cacheHierarchy uniqueName="[Range].[Year_Joined]" caption="Year_Joined" attribute="1" defaultMemberUniqueName="[Range].[Year_Joined].[All]" allUniqueName="[Range].[Year_Joined].[All]" dimensionUniqueName="[Range]" displayFolder="" count="0" memberValueDatatype="20" unbalanced="0"/>
    <cacheHierarchy uniqueName="[Range].[Month_Joined]" caption="Month_Joined" attribute="1" defaultMemberUniqueName="[Range].[Month_Joined].[All]" allUniqueName="[Range].[Month_Joined].[All]" dimensionUniqueName="[Range]" displayFolder="" count="0" memberValueDatatype="130" unbalanced="0"/>
    <cacheHierarchy uniqueName="[Range].[Number_of_Years_inCompany]" caption="Number_of_Years_inCompany" attribute="1" defaultMemberUniqueName="[Range].[Number_of_Years_inCompany].[All]" allUniqueName="[Range].[Number_of_Years_inCompany].[All]" dimensionUniqueName="[Range]" displayFolder="" count="0" memberValueDatatype="20" unbalanced="0"/>
    <cacheHierarchy uniqueName="[Measures].[Sum of Days_Leave_Entitled]" caption="Sum of Days_Leave_Entitled" measure="1" displayFolder="" measureGroup="Range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et_Salary_NGN]" caption="Sum of Net_Salary_NGN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oss_Salary_NGN]" caption="Sum of Gross_Salary_NGN" measure="1" displayFolder="" measureGroup="Range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__XL_Count Range]" caption="__XL_Count Range" measure="1" displayFolder="" measureGroup="Range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">
  <r>
    <s v="EMP-001"/>
    <s v="Adaeze Okonkwo"/>
    <x v="0"/>
    <x v="0"/>
    <x v="0"/>
    <d v="2019-03-15T00:00:00"/>
    <s v="Full-Time"/>
    <s v="F"/>
    <x v="0"/>
    <n v="63000"/>
    <n v="46200"/>
    <n v="310800"/>
    <n v="21"/>
    <n v="14"/>
    <n v="7"/>
    <x v="0"/>
    <x v="0"/>
    <n v="24"/>
    <s v="Active"/>
    <s v="Available"/>
    <s v="Excellent"/>
    <n v="2019"/>
    <s v="March"/>
    <n v="7"/>
  </r>
  <r>
    <s v="EMP-002"/>
    <s v="Babatunde Akande"/>
    <x v="1"/>
    <x v="1"/>
    <x v="1"/>
    <d v="2020-07-01T00:00:00"/>
    <s v="Full-Time"/>
    <s v="M"/>
    <x v="1"/>
    <n v="46500"/>
    <n v="34100"/>
    <n v="229400"/>
    <n v="21"/>
    <n v="21"/>
    <n v="0"/>
    <x v="1"/>
    <x v="1"/>
    <n v="18"/>
    <s v="Active"/>
    <s v="Exhausted"/>
    <s v="Good"/>
    <n v="2020"/>
    <s v="July"/>
    <n v="5"/>
  </r>
  <r>
    <s v="EMP-003"/>
    <s v="Chinyere Eze"/>
    <x v="2"/>
    <x v="2"/>
    <x v="0"/>
    <d v="2017-01-10T00:00:00"/>
    <s v="Full-Time"/>
    <s v="F"/>
    <x v="2"/>
    <n v="87000"/>
    <n v="63800"/>
    <n v="429200"/>
    <n v="21"/>
    <n v="7"/>
    <n v="14"/>
    <x v="2"/>
    <x v="0"/>
    <n v="32"/>
    <s v="Active"/>
    <s v="Available"/>
    <s v="Excellent"/>
    <n v="2017"/>
    <s v="January"/>
    <n v="9"/>
  </r>
  <r>
    <s v="EMP-004"/>
    <s v="Damilola Afolabi"/>
    <x v="3"/>
    <x v="1"/>
    <x v="2"/>
    <d v="2021-04-22T00:00:00"/>
    <s v="Contract"/>
    <s v="M"/>
    <x v="3"/>
    <n v="41250"/>
    <n v="30250"/>
    <n v="203500"/>
    <n v="14"/>
    <n v="14"/>
    <n v="0"/>
    <x v="3"/>
    <x v="1"/>
    <n v="15"/>
    <s v="Active"/>
    <s v="Exhausted"/>
    <s v="NeedsImprovement"/>
    <n v="2021"/>
    <s v="April"/>
    <n v="4"/>
  </r>
  <r>
    <s v="EMP-005"/>
    <s v="Emeka Nwachukwu"/>
    <x v="0"/>
    <x v="2"/>
    <x v="0"/>
    <d v="2016-09-05T00:00:00"/>
    <s v="Full-Time"/>
    <s v="M"/>
    <x v="4"/>
    <n v="93000"/>
    <n v="68200"/>
    <n v="458800"/>
    <n v="21"/>
    <n v="10"/>
    <n v="11"/>
    <x v="4"/>
    <x v="0"/>
    <n v="40"/>
    <s v="Active"/>
    <s v="Available"/>
    <s v="Excellent"/>
    <n v="2016"/>
    <s v="September"/>
    <n v="9"/>
  </r>
  <r>
    <s v="EMP-006"/>
    <s v="Fatima Aliyu"/>
    <x v="1"/>
    <x v="3"/>
    <x v="1"/>
    <d v="2022-11-14T00:00:00"/>
    <s v="Full-Time"/>
    <s v="F"/>
    <x v="5"/>
    <n v="33000"/>
    <n v="24200"/>
    <n v="162800"/>
    <n v="21"/>
    <n v="5"/>
    <n v="16"/>
    <x v="5"/>
    <x v="2"/>
    <n v="8"/>
    <s v="Active"/>
    <s v="Available"/>
    <s v="NeedsImprovement"/>
    <n v="2022"/>
    <s v="November"/>
    <n v="3"/>
  </r>
  <r>
    <s v="EMP-007"/>
    <s v="Grace Okafor"/>
    <x v="2"/>
    <x v="1"/>
    <x v="0"/>
    <d v="2020-02-28T00:00:00"/>
    <s v="Full-Time"/>
    <s v="F"/>
    <x v="6"/>
    <n v="45750"/>
    <n v="33550"/>
    <n v="225700"/>
    <n v="21"/>
    <n v="21"/>
    <n v="0"/>
    <x v="6"/>
    <x v="1"/>
    <n v="22"/>
    <s v="Active"/>
    <s v="Exhausted"/>
    <s v="Good"/>
    <n v="2020"/>
    <s v="February"/>
    <n v="6"/>
  </r>
  <r>
    <s v="EMP-008"/>
    <s v="Hassan Garba"/>
    <x v="3"/>
    <x v="0"/>
    <x v="1"/>
    <d v="2018-06-17T00:00:00"/>
    <s v="Full-Time"/>
    <s v="M"/>
    <x v="7"/>
    <n v="61500"/>
    <n v="45100"/>
    <n v="303400"/>
    <n v="21"/>
    <n v="3"/>
    <n v="18"/>
    <x v="7"/>
    <x v="0"/>
    <n v="28"/>
    <s v="Active"/>
    <s v="Available"/>
    <s v="Excellent"/>
    <n v="2018"/>
    <s v="June"/>
    <n v="7"/>
  </r>
  <r>
    <s v="EMP-009"/>
    <s v="Ifeoma Chukwu"/>
    <x v="4"/>
    <x v="1"/>
    <x v="0"/>
    <d v="2021-08-09T00:00:00"/>
    <s v="Full-Time"/>
    <s v="F"/>
    <x v="8"/>
    <n v="44250"/>
    <n v="32450"/>
    <n v="218300"/>
    <n v="21"/>
    <n v="0"/>
    <n v="21"/>
    <x v="8"/>
    <x v="3"/>
    <n v="0"/>
    <s v="Active"/>
    <s v="Available"/>
    <s v="NeedsImprovement"/>
    <n v="2021"/>
    <s v="August"/>
    <n v="4"/>
  </r>
  <r>
    <s v="EMP-010"/>
    <s v="James Adeleke"/>
    <x v="0"/>
    <x v="4"/>
    <x v="0"/>
    <d v="2014-03-20T00:00:00"/>
    <s v="Full-Time"/>
    <s v="M"/>
    <x v="9"/>
    <n v="127500"/>
    <n v="93500"/>
    <n v="629000"/>
    <n v="21"/>
    <n v="14"/>
    <n v="7"/>
    <x v="9"/>
    <x v="0"/>
    <n v="45"/>
    <s v="Active"/>
    <s v="Available"/>
    <s v="Excellent"/>
    <n v="2014"/>
    <s v="March"/>
    <n v="12"/>
  </r>
  <r>
    <s v="EMP-011"/>
    <s v="Kemi Balogun"/>
    <x v="4"/>
    <x v="3"/>
    <x v="3"/>
    <d v="2023-01-16T00:00:00"/>
    <s v="Contract"/>
    <s v="F"/>
    <x v="10"/>
    <n v="29250"/>
    <n v="21450"/>
    <n v="144300"/>
    <n v="14"/>
    <n v="7"/>
    <n v="7"/>
    <x v="10"/>
    <x v="2"/>
    <n v="10"/>
    <s v="Active"/>
    <s v="Available"/>
    <s v="NeedsImprovement"/>
    <n v="2023"/>
    <s v="January"/>
    <n v="3"/>
  </r>
  <r>
    <s v="EMP-012"/>
    <s v="Lawal Musa"/>
    <x v="2"/>
    <x v="0"/>
    <x v="4"/>
    <d v="2019-10-03T00:00:00"/>
    <s v="Full-Time"/>
    <s v="M"/>
    <x v="11"/>
    <n v="58500"/>
    <n v="42900"/>
    <n v="288600"/>
    <n v="21"/>
    <n v="21"/>
    <n v="0"/>
    <x v="11"/>
    <x v="1"/>
    <n v="20"/>
    <s v="Active"/>
    <s v="Exhausted"/>
    <s v="Good"/>
    <n v="2019"/>
    <s v="October"/>
    <n v="6"/>
  </r>
  <r>
    <s v="EMP-013"/>
    <s v="Mercy Osei"/>
    <x v="1"/>
    <x v="1"/>
    <x v="0"/>
    <d v="2020-05-11T00:00:00"/>
    <s v="Full-Time"/>
    <s v="F"/>
    <x v="12"/>
    <n v="47250"/>
    <n v="34650"/>
    <n v="233100"/>
    <n v="21"/>
    <n v="14"/>
    <n v="7"/>
    <x v="12"/>
    <x v="1"/>
    <n v="19"/>
    <s v="Active"/>
    <s v="Available"/>
    <s v="Good"/>
    <n v="2020"/>
    <s v="May"/>
    <n v="5"/>
  </r>
  <r>
    <s v="EMP-014"/>
    <s v="Ngozi Dike"/>
    <x v="0"/>
    <x v="0"/>
    <x v="5"/>
    <d v="2018-12-01T00:00:00"/>
    <s v="Full-Time"/>
    <s v="F"/>
    <x v="13"/>
    <n v="60750"/>
    <n v="44550"/>
    <n v="299700"/>
    <n v="21"/>
    <n v="21"/>
    <n v="0"/>
    <x v="13"/>
    <x v="0"/>
    <n v="30"/>
    <s v="Active"/>
    <s v="Exhausted"/>
    <s v="Excellent"/>
    <n v="2018"/>
    <s v="December"/>
    <n v="7"/>
  </r>
  <r>
    <s v="EMP-015"/>
    <s v="Obinna Ike"/>
    <x v="3"/>
    <x v="2"/>
    <x v="0"/>
    <d v="2016-07-25T00:00:00"/>
    <s v="Full-Time"/>
    <s v="M"/>
    <x v="14"/>
    <n v="88500"/>
    <n v="64900"/>
    <n v="436600"/>
    <n v="21"/>
    <n v="7"/>
    <n v="14"/>
    <x v="14"/>
    <x v="0"/>
    <n v="38"/>
    <s v="Active"/>
    <s v="Available"/>
    <s v="Excellent"/>
    <n v="2016"/>
    <s v="July"/>
    <n v="9"/>
  </r>
  <r>
    <s v="EMP-016"/>
    <s v="Patience Obi"/>
    <x v="2"/>
    <x v="3"/>
    <x v="2"/>
    <d v="2022-09-05T00:00:00"/>
    <s v="Full-Time"/>
    <s v="F"/>
    <x v="15"/>
    <n v="32250"/>
    <n v="23650"/>
    <n v="159100"/>
    <n v="21"/>
    <n v="14"/>
    <n v="7"/>
    <x v="15"/>
    <x v="2"/>
    <n v="9"/>
    <s v="Active"/>
    <s v="Available"/>
    <s v="NeedsImprovement"/>
    <n v="2022"/>
    <s v="September"/>
    <n v="3"/>
  </r>
  <r>
    <s v="EMP-017"/>
    <s v="Quadri Adeyemi"/>
    <x v="4"/>
    <x v="0"/>
    <x v="0"/>
    <d v="2019-04-14T00:00:00"/>
    <s v="Full-Time"/>
    <s v="M"/>
    <x v="16"/>
    <n v="57750"/>
    <n v="42350"/>
    <n v="284900"/>
    <n v="21"/>
    <n v="0"/>
    <n v="21"/>
    <x v="8"/>
    <x v="3"/>
    <n v="5"/>
    <s v="Active"/>
    <s v="Available"/>
    <s v="NeedsImprovement"/>
    <n v="2019"/>
    <s v="April"/>
    <n v="7"/>
  </r>
  <r>
    <s v="EMP-018"/>
    <s v="Rashida Umar"/>
    <x v="1"/>
    <x v="3"/>
    <x v="1"/>
    <d v="2023-03-20T00:00:00"/>
    <s v="Contract"/>
    <s v="F"/>
    <x v="17"/>
    <n v="31500"/>
    <n v="23100"/>
    <n v="155400"/>
    <n v="14"/>
    <n v="0"/>
    <n v="14"/>
    <x v="16"/>
    <x v="1"/>
    <n v="12"/>
    <s v="Active"/>
    <s v="Available"/>
    <s v="Good"/>
    <n v="2023"/>
    <s v="March"/>
    <n v="3"/>
  </r>
  <r>
    <s v="EMP-019"/>
    <s v="Samuel Taiwo"/>
    <x v="0"/>
    <x v="1"/>
    <x v="0"/>
    <d v="2021-02-15T00:00:00"/>
    <s v="Full-Time"/>
    <s v="M"/>
    <x v="18"/>
    <n v="48000"/>
    <n v="35200"/>
    <n v="236800"/>
    <n v="21"/>
    <n v="7"/>
    <n v="14"/>
    <x v="17"/>
    <x v="1"/>
    <n v="17"/>
    <s v="Active"/>
    <s v="Available"/>
    <s v="Good"/>
    <n v="2021"/>
    <s v="February"/>
    <n v="5"/>
  </r>
  <r>
    <s v="EMP-020"/>
    <s v="Tolu Adesanya"/>
    <x v="2"/>
    <x v="4"/>
    <x v="1"/>
    <d v="2013-11-08T00:00:00"/>
    <s v="Full-Time"/>
    <s v="F"/>
    <x v="19"/>
    <n v="138000"/>
    <n v="101200"/>
    <n v="680800"/>
    <n v="21"/>
    <n v="21"/>
    <n v="0"/>
    <x v="18"/>
    <x v="0"/>
    <n v="50"/>
    <s v="Active"/>
    <s v="Exhausted"/>
    <s v="Excellent"/>
    <n v="2013"/>
    <s v="November"/>
    <n v="12"/>
  </r>
  <r>
    <s v="EMP-021"/>
    <s v="Uche Onuoha"/>
    <x v="3"/>
    <x v="0"/>
    <x v="5"/>
    <d v="2018-08-22T00:00:00"/>
    <s v="Full-Time"/>
    <s v="M"/>
    <x v="20"/>
    <n v="62250"/>
    <n v="45650"/>
    <n v="307100"/>
    <n v="21"/>
    <n v="14"/>
    <n v="7"/>
    <x v="19"/>
    <x v="1"/>
    <n v="25"/>
    <s v="Active"/>
    <s v="Available"/>
    <s v="Good"/>
    <n v="2018"/>
    <s v="August"/>
    <n v="7"/>
  </r>
  <r>
    <s v="EMP-022"/>
    <s v="Victoria Eze"/>
    <x v="4"/>
    <x v="2"/>
    <x v="0"/>
    <d v="2015-06-30T00:00:00"/>
    <s v="Full-Time"/>
    <s v="F"/>
    <x v="21"/>
    <n v="84000"/>
    <n v="61600"/>
    <n v="414400"/>
    <n v="21"/>
    <n v="21"/>
    <n v="0"/>
    <x v="20"/>
    <x v="0"/>
    <n v="35"/>
    <s v="Active"/>
    <s v="Exhausted"/>
    <s v="Excellent"/>
    <n v="2015"/>
    <s v="June"/>
    <n v="10"/>
  </r>
  <r>
    <s v="EMP-023"/>
    <s v="Wasiu Bello"/>
    <x v="1"/>
    <x v="0"/>
    <x v="0"/>
    <d v="2018-01-22T00:00:00"/>
    <s v="Full-Time"/>
    <s v="M"/>
    <x v="22"/>
    <n v="60000"/>
    <n v="44000"/>
    <n v="296000"/>
    <n v="21"/>
    <n v="7"/>
    <n v="14"/>
    <x v="21"/>
    <x v="1"/>
    <n v="21"/>
    <s v="Active"/>
    <s v="Available"/>
    <s v="Good"/>
    <n v="2018"/>
    <s v="January"/>
    <n v="8"/>
  </r>
  <r>
    <s v="EMP-024"/>
    <s v="Xenia Okonkwo"/>
    <x v="0"/>
    <x v="1"/>
    <x v="1"/>
    <d v="2022-05-10T00:00:00"/>
    <s v="Full-Time"/>
    <s v="F"/>
    <x v="6"/>
    <n v="45750"/>
    <n v="33550"/>
    <n v="225700"/>
    <n v="21"/>
    <n v="0"/>
    <n v="21"/>
    <x v="22"/>
    <x v="1"/>
    <n v="14"/>
    <s v="Active"/>
    <s v="Available"/>
    <s v="Good"/>
    <n v="2022"/>
    <s v="May"/>
    <n v="3"/>
  </r>
  <r>
    <s v="EMP-025"/>
    <s v="Yusuf Salami"/>
    <x v="2"/>
    <x v="1"/>
    <x v="4"/>
    <d v="2021-06-01T00:00:00"/>
    <s v="Full-Time"/>
    <s v="M"/>
    <x v="8"/>
    <n v="44250"/>
    <n v="32450"/>
    <n v="218300"/>
    <n v="21"/>
    <n v="14"/>
    <n v="7"/>
    <x v="23"/>
    <x v="2"/>
    <n v="11"/>
    <s v="Active"/>
    <s v="Available"/>
    <s v="NeedsImprovement"/>
    <n v="2021"/>
    <s v="June"/>
    <n v="4"/>
  </r>
  <r>
    <s v="EMP-026"/>
    <s v="Zainab Mohammed"/>
    <x v="3"/>
    <x v="3"/>
    <x v="1"/>
    <d v="2023-07-17T00:00:00"/>
    <s v="Contract"/>
    <s v="F"/>
    <x v="23"/>
    <n v="30750"/>
    <n v="22550"/>
    <n v="151700"/>
    <n v="14"/>
    <n v="0"/>
    <n v="14"/>
    <x v="24"/>
    <x v="2"/>
    <n v="8"/>
    <s v="Active"/>
    <s v="Available"/>
    <s v="NeedsImprovement"/>
    <n v="2023"/>
    <s v="July"/>
    <n v="2"/>
  </r>
  <r>
    <s v="EMP-027"/>
    <s v="Amara Obi"/>
    <x v="4"/>
    <x v="1"/>
    <x v="0"/>
    <d v="2020-09-28T00:00:00"/>
    <s v="Full-Time"/>
    <s v="F"/>
    <x v="1"/>
    <n v="46500"/>
    <n v="34100"/>
    <n v="229400"/>
    <n v="21"/>
    <n v="21"/>
    <n v="0"/>
    <x v="25"/>
    <x v="1"/>
    <n v="18"/>
    <s v="Active"/>
    <s v="Exhausted"/>
    <s v="Good"/>
    <n v="2020"/>
    <s v="September"/>
    <n v="5"/>
  </r>
  <r>
    <s v="EMP-028"/>
    <s v="Biodun Ogundimu"/>
    <x v="0"/>
    <x v="2"/>
    <x v="0"/>
    <d v="2016-11-14T00:00:00"/>
    <s v="Full-Time"/>
    <s v="M"/>
    <x v="24"/>
    <n v="91500"/>
    <n v="67100"/>
    <n v="451400"/>
    <n v="21"/>
    <n v="14"/>
    <n v="7"/>
    <x v="0"/>
    <x v="0"/>
    <n v="33"/>
    <s v="Active"/>
    <s v="Available"/>
    <s v="Excellent"/>
    <n v="2016"/>
    <s v="November"/>
    <n v="9"/>
  </r>
  <r>
    <s v="EMP-029"/>
    <s v="Chioma Nwosu"/>
    <x v="1"/>
    <x v="1"/>
    <x v="2"/>
    <d v="2020-04-06T00:00:00"/>
    <s v="Full-Time"/>
    <s v="F"/>
    <x v="18"/>
    <n v="48000"/>
    <n v="35200"/>
    <n v="236800"/>
    <n v="21"/>
    <n v="7"/>
    <n v="14"/>
    <x v="26"/>
    <x v="1"/>
    <n v="20"/>
    <s v="Active"/>
    <s v="Available"/>
    <s v="Good"/>
    <n v="2020"/>
    <s v="April"/>
    <n v="6"/>
  </r>
  <r>
    <s v="EMP-030"/>
    <s v="David Okafor"/>
    <x v="2"/>
    <x v="0"/>
    <x v="0"/>
    <d v="2018-03-19T00:00:00"/>
    <s v="Full-Time"/>
    <s v="M"/>
    <x v="25"/>
    <n v="59250"/>
    <n v="43450"/>
    <n v="292300"/>
    <n v="21"/>
    <n v="21"/>
    <n v="0"/>
    <x v="27"/>
    <x v="1"/>
    <n v="24"/>
    <s v="Active"/>
    <s v="Exhausted"/>
    <s v="Good"/>
    <n v="2018"/>
    <s v="March"/>
    <n v="8"/>
  </r>
  <r>
    <s v="EMP-031"/>
    <s v="Eno Effiong"/>
    <x v="3"/>
    <x v="2"/>
    <x v="2"/>
    <d v="2016-05-03T00:00:00"/>
    <s v="Full-Time"/>
    <s v="F"/>
    <x v="26"/>
    <n v="86250"/>
    <n v="63250"/>
    <n v="425500"/>
    <n v="21"/>
    <n v="7"/>
    <n v="14"/>
    <x v="28"/>
    <x v="0"/>
    <n v="37"/>
    <s v="Active"/>
    <s v="Available"/>
    <s v="Excellent"/>
    <n v="2016"/>
    <s v="May"/>
    <n v="9"/>
  </r>
  <r>
    <s v="EMP-032"/>
    <s v="Femi Adebayo"/>
    <x v="4"/>
    <x v="0"/>
    <x v="3"/>
    <d v="2019-08-11T00:00:00"/>
    <s v="Full-Time"/>
    <s v="M"/>
    <x v="27"/>
    <n v="57000"/>
    <n v="41800"/>
    <n v="281200"/>
    <n v="21"/>
    <n v="14"/>
    <n v="7"/>
    <x v="29"/>
    <x v="1"/>
    <n v="16"/>
    <s v="Active"/>
    <s v="Available"/>
    <s v="Good"/>
    <n v="2019"/>
    <s v="August"/>
    <n v="6"/>
  </r>
  <r>
    <s v="EMP-033"/>
    <s v="Gloria Nze"/>
    <x v="0"/>
    <x v="3"/>
    <x v="5"/>
    <d v="2023-02-27T00:00:00"/>
    <s v="Full-Time"/>
    <s v="F"/>
    <x v="15"/>
    <n v="32250"/>
    <n v="23650"/>
    <n v="159100"/>
    <n v="21"/>
    <n v="5"/>
    <n v="16"/>
    <x v="5"/>
    <x v="2"/>
    <n v="7"/>
    <s v="Active"/>
    <s v="Available"/>
    <s v="NeedsImprovement"/>
    <n v="2023"/>
    <s v="February"/>
    <n v="3"/>
  </r>
  <r>
    <s v="EMP-034"/>
    <s v="Henry Obi"/>
    <x v="2"/>
    <x v="1"/>
    <x v="0"/>
    <d v="2021-10-04T00:00:00"/>
    <s v="Full-Time"/>
    <s v="M"/>
    <x v="28"/>
    <n v="43500"/>
    <n v="31900"/>
    <n v="214600"/>
    <n v="21"/>
    <n v="0"/>
    <n v="21"/>
    <x v="8"/>
    <x v="3"/>
    <n v="3"/>
    <s v="Active"/>
    <s v="Available"/>
    <s v="NeedsImprovement"/>
    <n v="2021"/>
    <s v="October"/>
    <n v="4"/>
  </r>
  <r>
    <s v="EMP-035"/>
    <s v="Ify Nkemdirim"/>
    <x v="1"/>
    <x v="2"/>
    <x v="1"/>
    <d v="2015-12-01T00:00:00"/>
    <s v="Full-Time"/>
    <s v="F"/>
    <x v="29"/>
    <n v="81000"/>
    <n v="59400"/>
    <n v="399600"/>
    <n v="21"/>
    <n v="21"/>
    <n v="0"/>
    <x v="30"/>
    <x v="0"/>
    <n v="30"/>
    <s v="Active"/>
    <s v="Exhausted"/>
    <s v="Excellent"/>
    <n v="2015"/>
    <s v="December"/>
    <n v="10"/>
  </r>
  <r>
    <s v="EMP-036"/>
    <s v="Julius Adeyinka"/>
    <x v="3"/>
    <x v="1"/>
    <x v="0"/>
    <d v="2021-03-15T00:00:00"/>
    <s v="Contract"/>
    <s v="M"/>
    <x v="30"/>
    <n v="40500"/>
    <n v="29700"/>
    <n v="199800"/>
    <n v="14"/>
    <n v="7"/>
    <n v="7"/>
    <x v="31"/>
    <x v="1"/>
    <n v="13"/>
    <s v="Exited"/>
    <s v="Available"/>
    <s v="Good"/>
    <n v="2021"/>
    <s v="March"/>
    <n v="5"/>
  </r>
  <r>
    <s v="EMP-037"/>
    <s v="Kola Akinwale"/>
    <x v="4"/>
    <x v="1"/>
    <x v="0"/>
    <d v="2020-11-22T00:00:00"/>
    <s v="Full-Time"/>
    <s v="M"/>
    <x v="31"/>
    <n v="45000"/>
    <n v="33000"/>
    <n v="222000"/>
    <n v="21"/>
    <n v="14"/>
    <n v="7"/>
    <x v="21"/>
    <x v="1"/>
    <n v="18"/>
    <s v="Active"/>
    <s v="Available"/>
    <s v="Good"/>
    <n v="2020"/>
    <s v="November"/>
    <n v="5"/>
  </r>
  <r>
    <s v="EMP-038"/>
    <s v="Lola Fashola"/>
    <x v="0"/>
    <x v="4"/>
    <x v="0"/>
    <d v="2012-08-30T00:00:00"/>
    <s v="Full-Time"/>
    <s v="F"/>
    <x v="32"/>
    <n v="147000"/>
    <n v="107800"/>
    <n v="725200"/>
    <n v="21"/>
    <n v="14"/>
    <n v="7"/>
    <x v="32"/>
    <x v="0"/>
    <n v="55"/>
    <s v="Active"/>
    <s v="Available"/>
    <s v="Excellent"/>
    <n v="2012"/>
    <s v="August"/>
    <n v="13"/>
  </r>
  <r>
    <s v="EMP-039"/>
    <s v="Moses Adamu"/>
    <x v="2"/>
    <x v="3"/>
    <x v="4"/>
    <d v="2022-12-05T00:00:00"/>
    <s v="Full-Time"/>
    <s v="M"/>
    <x v="17"/>
    <n v="31500"/>
    <n v="23100"/>
    <n v="155400"/>
    <n v="21"/>
    <n v="0"/>
    <n v="21"/>
    <x v="33"/>
    <x v="2"/>
    <n v="6"/>
    <s v="Active"/>
    <s v="Available"/>
    <s v="NeedsImprovement"/>
    <n v="2022"/>
    <s v="December"/>
    <n v="3"/>
  </r>
  <r>
    <s v="EMP-040"/>
    <s v="Nkechi Okonkwo"/>
    <x v="1"/>
    <x v="0"/>
    <x v="0"/>
    <d v="2017-07-14T00:00:00"/>
    <s v="Full-Time"/>
    <s v="F"/>
    <x v="7"/>
    <n v="61500"/>
    <n v="45100"/>
    <n v="303400"/>
    <n v="21"/>
    <n v="21"/>
    <n v="0"/>
    <x v="34"/>
    <x v="1"/>
    <n v="26"/>
    <s v="Active"/>
    <s v="Exhausted"/>
    <s v="Good"/>
    <n v="2017"/>
    <s v="July"/>
    <n v="8"/>
  </r>
  <r>
    <s v="EMP-041"/>
    <s v="Osaro Osagie"/>
    <x v="3"/>
    <x v="0"/>
    <x v="6"/>
    <d v="2018-10-09T00:00:00"/>
    <s v="Full-Time"/>
    <s v="M"/>
    <x v="13"/>
    <n v="60750"/>
    <n v="44550"/>
    <n v="299700"/>
    <n v="21"/>
    <n v="14"/>
    <n v="7"/>
    <x v="27"/>
    <x v="1"/>
    <n v="23"/>
    <s v="Active"/>
    <s v="Available"/>
    <s v="Good"/>
    <n v="2018"/>
    <s v="October"/>
    <n v="7"/>
  </r>
  <r>
    <s v="EMP-042"/>
    <s v="Priscilla Udo"/>
    <x v="4"/>
    <x v="3"/>
    <x v="2"/>
    <d v="2023-05-15T00:00:00"/>
    <s v="Contract"/>
    <s v="F"/>
    <x v="33"/>
    <n v="30000"/>
    <n v="22000"/>
    <n v="148000"/>
    <n v="14"/>
    <n v="7"/>
    <n v="7"/>
    <x v="15"/>
    <x v="2"/>
    <n v="9"/>
    <s v="Active"/>
    <s v="Available"/>
    <s v="NeedsImprovement"/>
    <n v="2023"/>
    <s v="May"/>
    <n v="2"/>
  </r>
  <r>
    <s v="EMP-043"/>
    <s v="Rafiu Olanrewaju"/>
    <x v="0"/>
    <x v="0"/>
    <x v="3"/>
    <d v="2019-01-28T00:00:00"/>
    <s v="Full-Time"/>
    <s v="M"/>
    <x v="22"/>
    <n v="60000"/>
    <n v="44000"/>
    <n v="296000"/>
    <n v="21"/>
    <n v="7"/>
    <n v="14"/>
    <x v="35"/>
    <x v="0"/>
    <n v="27"/>
    <s v="Active"/>
    <s v="Available"/>
    <s v="Excellent"/>
    <n v="2019"/>
    <s v="January"/>
    <n v="7"/>
  </r>
  <r>
    <s v="EMP-044"/>
    <s v="Sandra Ekwueme"/>
    <x v="2"/>
    <x v="2"/>
    <x v="0"/>
    <d v="2015-09-21T00:00:00"/>
    <s v="Full-Time"/>
    <s v="F"/>
    <x v="34"/>
    <n v="83250"/>
    <n v="61050"/>
    <n v="410700"/>
    <n v="21"/>
    <n v="21"/>
    <n v="0"/>
    <x v="13"/>
    <x v="0"/>
    <n v="36"/>
    <s v="Active"/>
    <s v="Exhausted"/>
    <s v="Excellent"/>
    <n v="2015"/>
    <s v="September"/>
    <n v="10"/>
  </r>
  <r>
    <s v="EMP-045"/>
    <s v="Taiwo Olawale"/>
    <x v="3"/>
    <x v="1"/>
    <x v="1"/>
    <d v="2022-01-10T00:00:00"/>
    <s v="Full-Time"/>
    <s v="M"/>
    <x v="35"/>
    <n v="42000"/>
    <n v="30800"/>
    <n v="207200"/>
    <n v="21"/>
    <n v="7"/>
    <n v="14"/>
    <x v="36"/>
    <x v="1"/>
    <n v="14"/>
    <s v="Active"/>
    <s v="Available"/>
    <s v="NeedsImprovement"/>
    <n v="2022"/>
    <s v="January"/>
    <n v="4"/>
  </r>
  <r>
    <s v="EMP-046"/>
    <s v="Uzo Agwu"/>
    <x v="4"/>
    <x v="2"/>
    <x v="0"/>
    <d v="2016-02-14T00:00:00"/>
    <s v="Full-Time"/>
    <s v="F"/>
    <x v="36"/>
    <n v="81750"/>
    <n v="59950"/>
    <n v="403300"/>
    <n v="21"/>
    <n v="14"/>
    <n v="7"/>
    <x v="14"/>
    <x v="0"/>
    <n v="38"/>
    <s v="Active"/>
    <s v="Available"/>
    <s v="Excellent"/>
    <n v="2016"/>
    <s v="February"/>
    <n v="10"/>
  </r>
  <r>
    <s v="EMP-047"/>
    <s v="Vincent Okwu"/>
    <x v="1"/>
    <x v="1"/>
    <x v="1"/>
    <d v="2021-09-03T00:00:00"/>
    <s v="Full-Time"/>
    <s v="M"/>
    <x v="6"/>
    <n v="45750"/>
    <n v="33550"/>
    <n v="225700"/>
    <n v="21"/>
    <n v="0"/>
    <n v="21"/>
    <x v="8"/>
    <x v="3"/>
    <n v="4"/>
    <s v="Active"/>
    <s v="Available"/>
    <s v="NeedsImprovement"/>
    <n v="2021"/>
    <s v="September"/>
    <n v="4"/>
  </r>
  <r>
    <s v="EMP-048"/>
    <s v="Wunmi Abiodun"/>
    <x v="0"/>
    <x v="1"/>
    <x v="0"/>
    <d v="2022-07-19T00:00:00"/>
    <s v="Full-Time"/>
    <s v="F"/>
    <x v="12"/>
    <n v="47250"/>
    <n v="34650"/>
    <n v="233100"/>
    <n v="21"/>
    <n v="7"/>
    <n v="14"/>
    <x v="1"/>
    <x v="1"/>
    <n v="15"/>
    <s v="Active"/>
    <s v="Available"/>
    <s v="Good"/>
    <n v="2022"/>
    <s v="July"/>
    <n v="3"/>
  </r>
  <r>
    <s v="EMP-049"/>
    <s v="Xavier Obi"/>
    <x v="2"/>
    <x v="0"/>
    <x v="5"/>
    <d v="2018-05-07T00:00:00"/>
    <s v="Full-Time"/>
    <s v="M"/>
    <x v="11"/>
    <n v="58500"/>
    <n v="42900"/>
    <n v="288600"/>
    <n v="21"/>
    <n v="21"/>
    <n v="0"/>
    <x v="26"/>
    <x v="1"/>
    <n v="21"/>
    <s v="Active"/>
    <s v="Exhausted"/>
    <s v="Good"/>
    <n v="2018"/>
    <s v="May"/>
    <n v="7"/>
  </r>
  <r>
    <s v="EMP-050"/>
    <s v="Yetunde Adegoke"/>
    <x v="3"/>
    <x v="4"/>
    <x v="0"/>
    <d v="2014-01-20T00:00:00"/>
    <s v="Full-Time"/>
    <s v="F"/>
    <x v="37"/>
    <n v="133500"/>
    <n v="97900"/>
    <n v="658600"/>
    <n v="21"/>
    <n v="7"/>
    <n v="14"/>
    <x v="4"/>
    <x v="0"/>
    <n v="48"/>
    <s v="Active"/>
    <s v="Available"/>
    <s v="Excellent"/>
    <n v="2014"/>
    <s v="January"/>
    <n v="12"/>
  </r>
  <r>
    <s v="EMP-051"/>
    <s v="Zara Musa"/>
    <x v="4"/>
    <x v="3"/>
    <x v="4"/>
    <d v="2023-06-12T00:00:00"/>
    <s v="Contract"/>
    <s v="F"/>
    <x v="10"/>
    <n v="29250"/>
    <n v="21450"/>
    <n v="144300"/>
    <n v="14"/>
    <n v="0"/>
    <n v="14"/>
    <x v="24"/>
    <x v="2"/>
    <n v="8"/>
    <s v="Active"/>
    <s v="Available"/>
    <s v="NeedsImprovement"/>
    <n v="2023"/>
    <s v="June"/>
    <n v="2"/>
  </r>
  <r>
    <s v="EMP-052"/>
    <s v="Akin Salau"/>
    <x v="0"/>
    <x v="1"/>
    <x v="1"/>
    <d v="2021-11-30T00:00:00"/>
    <s v="Full-Time"/>
    <s v="M"/>
    <x v="38"/>
    <n v="48750"/>
    <n v="35750"/>
    <n v="240500"/>
    <n v="21"/>
    <n v="14"/>
    <n v="7"/>
    <x v="29"/>
    <x v="1"/>
    <n v="16"/>
    <s v="Active"/>
    <s v="Available"/>
    <s v="Good"/>
    <n v="2021"/>
    <s v="November"/>
    <n v="4"/>
  </r>
  <r>
    <s v="EMP-053"/>
    <s v="Bisi Ogundele"/>
    <x v="2"/>
    <x v="3"/>
    <x v="0"/>
    <d v="2023-08-01T00:00:00"/>
    <s v="Full-Time"/>
    <s v="F"/>
    <x v="23"/>
    <n v="30750"/>
    <n v="22550"/>
    <n v="151700"/>
    <n v="21"/>
    <n v="0"/>
    <n v="21"/>
    <x v="37"/>
    <x v="2"/>
    <n v="5"/>
    <s v="Active"/>
    <s v="Available"/>
    <s v="NeedsImprovement"/>
    <n v="2023"/>
    <s v="August"/>
    <n v="2"/>
  </r>
  <r>
    <s v="EMP-054"/>
    <s v="Chidi Okafor"/>
    <x v="1"/>
    <x v="2"/>
    <x v="1"/>
    <d v="2015-04-18T00:00:00"/>
    <s v="Full-Time"/>
    <s v="M"/>
    <x v="39"/>
    <n v="79500"/>
    <n v="58300"/>
    <n v="392200"/>
    <n v="21"/>
    <n v="14"/>
    <n v="7"/>
    <x v="35"/>
    <x v="0"/>
    <n v="31"/>
    <s v="Active"/>
    <s v="Available"/>
    <s v="Excellent"/>
    <n v="2015"/>
    <s v="April"/>
    <n v="10"/>
  </r>
  <r>
    <s v="EMP-055"/>
    <s v="Dapo Adesanya"/>
    <x v="3"/>
    <x v="0"/>
    <x v="0"/>
    <d v="2019-06-24T00:00:00"/>
    <s v="Full-Time"/>
    <s v="M"/>
    <x v="0"/>
    <n v="63000"/>
    <n v="46200"/>
    <n v="310800"/>
    <n v="21"/>
    <n v="7"/>
    <n v="14"/>
    <x v="34"/>
    <x v="1"/>
    <n v="26"/>
    <s v="Active"/>
    <s v="Available"/>
    <s v="Good"/>
    <n v="2019"/>
    <s v="June"/>
    <n v="6"/>
  </r>
  <r>
    <s v="EMP-056"/>
    <s v="Eucharia Nweke"/>
    <x v="4"/>
    <x v="1"/>
    <x v="5"/>
    <d v="2020-12-07T00:00:00"/>
    <s v="Full-Time"/>
    <s v="F"/>
    <x v="31"/>
    <n v="45000"/>
    <n v="33000"/>
    <n v="222000"/>
    <n v="21"/>
    <n v="21"/>
    <n v="0"/>
    <x v="17"/>
    <x v="1"/>
    <n v="17"/>
    <s v="Active"/>
    <s v="Exhausted"/>
    <s v="Good"/>
    <n v="2020"/>
    <s v="December"/>
    <n v="5"/>
  </r>
  <r>
    <s v="EMP-057"/>
    <s v="Fola Ogunleye"/>
    <x v="0"/>
    <x v="0"/>
    <x v="0"/>
    <d v="2018-09-16T00:00:00"/>
    <s v="Full-Time"/>
    <s v="F"/>
    <x v="7"/>
    <n v="61500"/>
    <n v="45100"/>
    <n v="303400"/>
    <n v="21"/>
    <n v="7"/>
    <n v="14"/>
    <x v="0"/>
    <x v="0"/>
    <n v="28"/>
    <s v="Active"/>
    <s v="Available"/>
    <s v="Excellent"/>
    <n v="2018"/>
    <s v="September"/>
    <n v="7"/>
  </r>
  <r>
    <s v="EMP-058"/>
    <s v="Gbenga Adeyemi"/>
    <x v="2"/>
    <x v="1"/>
    <x v="3"/>
    <d v="2021-07-05T00:00:00"/>
    <s v="Full-Time"/>
    <s v="M"/>
    <x v="40"/>
    <n v="42750"/>
    <n v="31350"/>
    <n v="210900"/>
    <n v="21"/>
    <n v="14"/>
    <n v="7"/>
    <x v="38"/>
    <x v="2"/>
    <n v="12"/>
    <s v="Active"/>
    <s v="Available"/>
    <s v="NeedsImprovement"/>
    <n v="2021"/>
    <s v="July"/>
    <n v="4"/>
  </r>
  <r>
    <s v="EMP-059"/>
    <s v="Hauwa Abubakar"/>
    <x v="1"/>
    <x v="3"/>
    <x v="1"/>
    <d v="2023-04-10T00:00:00"/>
    <s v="Contract"/>
    <s v="F"/>
    <x v="17"/>
    <n v="31500"/>
    <n v="23100"/>
    <n v="155400"/>
    <n v="14"/>
    <n v="7"/>
    <n v="7"/>
    <x v="23"/>
    <x v="2"/>
    <n v="10"/>
    <s v="Active"/>
    <s v="Available"/>
    <s v="NeedsImprovement"/>
    <n v="2023"/>
    <s v="April"/>
    <n v="3"/>
  </r>
  <r>
    <s v="EMP-060"/>
    <s v="Ifeanyi Obi"/>
    <x v="3"/>
    <x v="2"/>
    <x v="0"/>
    <d v="2017-03-28T00:00:00"/>
    <s v="Full-Time"/>
    <s v="M"/>
    <x v="41"/>
    <n v="85500"/>
    <n v="62700"/>
    <n v="421800"/>
    <n v="21"/>
    <n v="14"/>
    <n v="7"/>
    <x v="8"/>
    <x v="3"/>
    <n v="2"/>
    <s v="Active"/>
    <s v="Available"/>
    <s v="NeedsImprovement"/>
    <n v="2017"/>
    <s v="March"/>
    <n v="9"/>
  </r>
  <r>
    <s v="EMP-030"/>
    <s v="David Okafor"/>
    <x v="2"/>
    <x v="0"/>
    <x v="0"/>
    <d v="2018-03-19T00:00:00"/>
    <s v="Full-Time"/>
    <s v="M"/>
    <x v="25"/>
    <n v="59250"/>
    <n v="43450"/>
    <n v="292300"/>
    <n v="21"/>
    <n v="21"/>
    <n v="0"/>
    <x v="27"/>
    <x v="1"/>
    <n v="24"/>
    <s v="Active"/>
    <s v="Exhausted"/>
    <s v="Good"/>
    <n v="2018"/>
    <s v="March"/>
    <n v="8"/>
  </r>
  <r>
    <s v="EMP-061"/>
    <s v="Joy Eze"/>
    <x v="4"/>
    <x v="0"/>
    <x v="0"/>
    <d v="2019-02-11T00:00:00"/>
    <s v="Full-Time"/>
    <s v="F"/>
    <x v="16"/>
    <n v="57750"/>
    <n v="42350"/>
    <n v="284900"/>
    <n v="21"/>
    <n v="21"/>
    <n v="0"/>
    <x v="19"/>
    <x v="1"/>
    <n v="22"/>
    <s v="Active"/>
    <s v="Exhausted"/>
    <s v="Good"/>
    <n v="2019"/>
    <s v="February"/>
    <n v="7"/>
  </r>
  <r>
    <s v="EMP-062"/>
    <s v="Kunle Adekoya"/>
    <x v="0"/>
    <x v="2"/>
    <x v="1"/>
    <d v="2016-08-19T00:00:00"/>
    <s v="Full-Time"/>
    <s v="M"/>
    <x v="42"/>
    <n v="90000"/>
    <n v="66000"/>
    <n v="444000"/>
    <n v="21"/>
    <n v="7"/>
    <n v="14"/>
    <x v="20"/>
    <x v="0"/>
    <n v="36"/>
    <s v="Active"/>
    <s v="Available"/>
    <s v="Excellent"/>
    <n v="2016"/>
    <s v="August"/>
    <n v="9"/>
  </r>
  <r>
    <s v="EMP-063"/>
    <s v="Lilian Okonkwo"/>
    <x v="2"/>
    <x v="1"/>
    <x v="2"/>
    <d v="2021-05-26T00:00:00"/>
    <s v="Full-Time"/>
    <s v="F"/>
    <x v="8"/>
    <n v="44250"/>
    <n v="32450"/>
    <n v="218300"/>
    <n v="21"/>
    <n v="7"/>
    <n v="14"/>
    <x v="25"/>
    <x v="1"/>
    <n v="17"/>
    <s v="Active"/>
    <s v="Available"/>
    <s v="Good"/>
    <n v="2021"/>
    <s v="May"/>
    <n v="4"/>
  </r>
  <r>
    <s v="EMP-064"/>
    <s v="Mike Adamu"/>
    <x v="3"/>
    <x v="0"/>
    <x v="1"/>
    <d v="2018-11-12T00:00:00"/>
    <s v="Full-Time"/>
    <s v="M"/>
    <x v="20"/>
    <n v="62250"/>
    <n v="45650"/>
    <n v="307100"/>
    <n v="21"/>
    <n v="14"/>
    <n v="7"/>
    <x v="12"/>
    <x v="1"/>
    <n v="24"/>
    <s v="Active"/>
    <s v="Available"/>
    <s v="Good"/>
    <n v="2018"/>
    <s v="November"/>
    <n v="7"/>
  </r>
  <r>
    <s v="EMP-065"/>
    <s v="Ngozi Abiodun"/>
    <x v="1"/>
    <x v="1"/>
    <x v="0"/>
    <d v="2020-10-15T00:00:00"/>
    <s v="Full-Time"/>
    <s v="F"/>
    <x v="1"/>
    <n v="46500"/>
    <n v="34100"/>
    <n v="229400"/>
    <n v="21"/>
    <n v="0"/>
    <n v="21"/>
    <x v="8"/>
    <x v="3"/>
    <n v="1"/>
    <s v="Exited"/>
    <s v="Available"/>
    <s v="NeedsImprovement"/>
    <n v="2020"/>
    <s v="October"/>
    <n v="5"/>
  </r>
  <r>
    <m/>
    <m/>
    <x v="5"/>
    <x v="5"/>
    <x v="7"/>
    <m/>
    <m/>
    <m/>
    <x v="43"/>
    <m/>
    <m/>
    <m/>
    <m/>
    <m/>
    <m/>
    <x v="39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Department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ary_NGN" fld="1" baseField="0" baseItem="0" numFmtId="165"/>
  </dataFields>
  <formats count="9">
    <format dxfId="13">
      <pivotArea collapsedLevelsAreSubtotals="1" fieldPosition="0">
        <references count="1">
          <reference field="0" count="1">
            <x v="2"/>
          </reference>
        </references>
      </pivotArea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aff_Records!$A:$X">
        <x15:activeTabTopLevelEntity name="[Range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24">
    <pivotField showAll="0"/>
    <pivotField showAll="0"/>
    <pivotField showAll="0"/>
    <pivotField axis="axisRow" showAll="0">
      <items count="7">
        <item x="3"/>
        <item x="1"/>
        <item x="0"/>
        <item x="2"/>
        <item x="4"/>
        <item h="1" x="5"/>
        <item t="default"/>
      </items>
    </pivotField>
    <pivotField showAll="0"/>
    <pivotField showAll="0"/>
    <pivotField showAll="0"/>
    <pivotField showAll="0"/>
    <pivotField dataField="1" showAll="0">
      <items count="45">
        <item x="10"/>
        <item x="33"/>
        <item x="23"/>
        <item x="17"/>
        <item x="15"/>
        <item x="5"/>
        <item x="30"/>
        <item x="3"/>
        <item x="35"/>
        <item x="40"/>
        <item x="28"/>
        <item x="8"/>
        <item x="31"/>
        <item x="6"/>
        <item x="1"/>
        <item x="12"/>
        <item x="18"/>
        <item x="38"/>
        <item x="27"/>
        <item x="16"/>
        <item x="11"/>
        <item x="25"/>
        <item x="22"/>
        <item x="13"/>
        <item x="7"/>
        <item x="20"/>
        <item x="0"/>
        <item x="39"/>
        <item x="29"/>
        <item x="36"/>
        <item x="34"/>
        <item x="21"/>
        <item x="41"/>
        <item x="26"/>
        <item x="2"/>
        <item x="14"/>
        <item x="42"/>
        <item x="24"/>
        <item x="4"/>
        <item x="9"/>
        <item x="37"/>
        <item x="19"/>
        <item x="32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ross_Salary_NGN" fld="8" subtotal="average" baseField="3" baseItem="4" numFmtId="169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Location">
  <location ref="A3:B11" firstHeaderRow="1" firstDataRow="1" firstDataCol="1"/>
  <pivotFields count="24">
    <pivotField dataField="1" showAll="0"/>
    <pivotField showAll="0"/>
    <pivotField showAll="0"/>
    <pivotField showAll="0"/>
    <pivotField axis="axisRow" showAll="0">
      <items count="9">
        <item x="1"/>
        <item x="6"/>
        <item x="5"/>
        <item x="3"/>
        <item x="4"/>
        <item x="0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_ID" fld="0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9" firstHeaderRow="1" firstDataRow="1" firstDataCol="1"/>
  <pivotFields count="24">
    <pivotField showAll="0"/>
    <pivotField showAll="0"/>
    <pivotField axis="axisRow" showAll="0">
      <items count="7">
        <item x="0"/>
        <item x="1"/>
        <item x="3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1">
        <item x="8"/>
        <item x="37"/>
        <item x="33"/>
        <item x="5"/>
        <item x="15"/>
        <item x="24"/>
        <item x="10"/>
        <item x="23"/>
        <item x="38"/>
        <item x="3"/>
        <item x="36"/>
        <item x="16"/>
        <item x="31"/>
        <item x="22"/>
        <item x="29"/>
        <item x="1"/>
        <item x="25"/>
        <item x="17"/>
        <item x="11"/>
        <item x="21"/>
        <item x="6"/>
        <item x="26"/>
        <item x="12"/>
        <item x="27"/>
        <item x="19"/>
        <item x="34"/>
        <item x="7"/>
        <item x="30"/>
        <item x="35"/>
        <item x="0"/>
        <item x="13"/>
        <item x="20"/>
        <item x="14"/>
        <item x="2"/>
        <item x="28"/>
        <item x="18"/>
        <item x="4"/>
        <item x="9"/>
        <item x="32"/>
        <item x="39"/>
        <item t="default"/>
      </items>
    </pivotField>
    <pivotField dataField="1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erformance_Rating" fld="16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Department">
  <location ref="A3:B9" firstHeaderRow="1" firstDataRow="1" firstDataCol="1"/>
  <pivotFields count="24">
    <pivotField showAll="0"/>
    <pivotField showAll="0"/>
    <pivotField axis="axisRow" showAll="0">
      <items count="7">
        <item x="0"/>
        <item x="1"/>
        <item x="3"/>
        <item x="4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ining_Hours_2024" fld="17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20" sqref="D20"/>
    </sheetView>
  </sheetViews>
  <sheetFormatPr defaultRowHeight="15" x14ac:dyDescent="0.25"/>
  <cols>
    <col min="1" max="1" width="13.140625" bestFit="1" customWidth="1"/>
    <col min="2" max="2" width="22.85546875" style="58" customWidth="1"/>
    <col min="3" max="3" width="24.5703125" bestFit="1" customWidth="1"/>
  </cols>
  <sheetData>
    <row r="3" spans="1:2" x14ac:dyDescent="0.25">
      <c r="A3" s="55" t="s">
        <v>2</v>
      </c>
      <c r="B3" s="58" t="s">
        <v>206</v>
      </c>
    </row>
    <row r="4" spans="1:2" x14ac:dyDescent="0.25">
      <c r="A4" s="56" t="s">
        <v>21</v>
      </c>
      <c r="B4" s="58">
        <v>5013500</v>
      </c>
    </row>
    <row r="5" spans="1:2" x14ac:dyDescent="0.25">
      <c r="A5" s="56" t="s">
        <v>30</v>
      </c>
      <c r="B5" s="58">
        <v>3019200</v>
      </c>
    </row>
    <row r="6" spans="1:2" x14ac:dyDescent="0.25">
      <c r="A6" s="56" t="s">
        <v>41</v>
      </c>
      <c r="B6" s="58">
        <v>4232800</v>
      </c>
    </row>
    <row r="7" spans="1:2" x14ac:dyDescent="0.25">
      <c r="A7" s="56" t="s">
        <v>57</v>
      </c>
      <c r="B7" s="58">
        <v>2997000</v>
      </c>
    </row>
    <row r="8" spans="1:2" x14ac:dyDescent="0.25">
      <c r="A8" s="56" t="s">
        <v>37</v>
      </c>
      <c r="B8" s="58">
        <v>4236500</v>
      </c>
    </row>
    <row r="9" spans="1:2" x14ac:dyDescent="0.25">
      <c r="A9" s="56" t="s">
        <v>205</v>
      </c>
      <c r="B9" s="58">
        <v>19499000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F19" sqref="F19"/>
    </sheetView>
  </sheetViews>
  <sheetFormatPr defaultRowHeight="15" x14ac:dyDescent="0.25"/>
  <cols>
    <col min="1" max="1" width="13.140625" customWidth="1"/>
    <col min="2" max="2" width="28.140625" style="57" bestFit="1" customWidth="1"/>
  </cols>
  <sheetData>
    <row r="3" spans="1:2" x14ac:dyDescent="0.25">
      <c r="A3" s="55" t="s">
        <v>204</v>
      </c>
      <c r="B3" s="57" t="s">
        <v>207</v>
      </c>
    </row>
    <row r="4" spans="1:2" x14ac:dyDescent="0.25">
      <c r="A4" s="56" t="s">
        <v>49</v>
      </c>
      <c r="B4" s="57">
        <v>207272.72727272726</v>
      </c>
    </row>
    <row r="5" spans="1:2" x14ac:dyDescent="0.25">
      <c r="A5" s="56" t="s">
        <v>31</v>
      </c>
      <c r="B5" s="57">
        <v>301190.47619047621</v>
      </c>
    </row>
    <row r="6" spans="1:2" x14ac:dyDescent="0.25">
      <c r="A6" s="56" t="s">
        <v>22</v>
      </c>
      <c r="B6" s="57">
        <v>401666.66666666669</v>
      </c>
    </row>
    <row r="7" spans="1:2" x14ac:dyDescent="0.25">
      <c r="A7" s="56" t="s">
        <v>38</v>
      </c>
      <c r="B7" s="57">
        <v>572916.66666666663</v>
      </c>
    </row>
    <row r="8" spans="1:2" x14ac:dyDescent="0.25">
      <c r="A8" s="56" t="s">
        <v>61</v>
      </c>
      <c r="B8" s="57">
        <v>910000</v>
      </c>
    </row>
    <row r="9" spans="1:2" x14ac:dyDescent="0.25">
      <c r="A9" s="56" t="s">
        <v>205</v>
      </c>
      <c r="B9" s="57">
        <v>399242.42424242425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I22" sqref="I22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55" t="s">
        <v>4</v>
      </c>
      <c r="B3" t="s">
        <v>208</v>
      </c>
    </row>
    <row r="4" spans="1:2" x14ac:dyDescent="0.25">
      <c r="A4" s="56" t="s">
        <v>32</v>
      </c>
      <c r="B4" s="34">
        <v>15</v>
      </c>
    </row>
    <row r="5" spans="1:2" x14ac:dyDescent="0.25">
      <c r="A5" s="56" t="s">
        <v>129</v>
      </c>
      <c r="B5" s="34">
        <v>1</v>
      </c>
    </row>
    <row r="6" spans="1:2" x14ac:dyDescent="0.25">
      <c r="A6" s="56" t="s">
        <v>72</v>
      </c>
      <c r="B6" s="34">
        <v>5</v>
      </c>
    </row>
    <row r="7" spans="1:2" x14ac:dyDescent="0.25">
      <c r="A7" s="56" t="s">
        <v>64</v>
      </c>
      <c r="B7" s="34">
        <v>4</v>
      </c>
    </row>
    <row r="8" spans="1:2" x14ac:dyDescent="0.25">
      <c r="A8" s="56" t="s">
        <v>67</v>
      </c>
      <c r="B8" s="34">
        <v>4</v>
      </c>
    </row>
    <row r="9" spans="1:2" x14ac:dyDescent="0.25">
      <c r="A9" s="56" t="s">
        <v>23</v>
      </c>
      <c r="B9" s="34">
        <v>31</v>
      </c>
    </row>
    <row r="10" spans="1:2" x14ac:dyDescent="0.25">
      <c r="A10" s="56" t="s">
        <v>42</v>
      </c>
      <c r="B10" s="34">
        <v>6</v>
      </c>
    </row>
    <row r="11" spans="1:2" x14ac:dyDescent="0.25">
      <c r="A11" s="56" t="s">
        <v>205</v>
      </c>
      <c r="B11" s="34">
        <v>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I19" sqref="I19"/>
    </sheetView>
  </sheetViews>
  <sheetFormatPr defaultRowHeight="15" x14ac:dyDescent="0.25"/>
  <cols>
    <col min="1" max="1" width="13.140625" customWidth="1"/>
    <col min="2" max="2" width="27.5703125" bestFit="1" customWidth="1"/>
    <col min="3" max="3" width="26.42578125" customWidth="1"/>
  </cols>
  <sheetData>
    <row r="3" spans="1:2" x14ac:dyDescent="0.25">
      <c r="A3" s="55" t="s">
        <v>204</v>
      </c>
      <c r="B3" t="s">
        <v>209</v>
      </c>
    </row>
    <row r="4" spans="1:2" x14ac:dyDescent="0.25">
      <c r="A4" s="56" t="s">
        <v>21</v>
      </c>
      <c r="B4" s="34">
        <v>14</v>
      </c>
    </row>
    <row r="5" spans="1:2" x14ac:dyDescent="0.25">
      <c r="A5" s="56" t="s">
        <v>30</v>
      </c>
      <c r="B5" s="34">
        <v>12</v>
      </c>
    </row>
    <row r="6" spans="1:2" x14ac:dyDescent="0.25">
      <c r="A6" s="56" t="s">
        <v>41</v>
      </c>
      <c r="B6" s="34">
        <v>13</v>
      </c>
    </row>
    <row r="7" spans="1:2" x14ac:dyDescent="0.25">
      <c r="A7" s="56" t="s">
        <v>57</v>
      </c>
      <c r="B7" s="34">
        <v>12</v>
      </c>
    </row>
    <row r="8" spans="1:2" x14ac:dyDescent="0.25">
      <c r="A8" s="56" t="s">
        <v>37</v>
      </c>
      <c r="B8" s="34">
        <v>15</v>
      </c>
    </row>
    <row r="9" spans="1:2" x14ac:dyDescent="0.25">
      <c r="A9" s="56" t="s">
        <v>205</v>
      </c>
      <c r="B9" s="34">
        <v>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H22" sqref="H22"/>
    </sheetView>
  </sheetViews>
  <sheetFormatPr defaultRowHeight="15" x14ac:dyDescent="0.25"/>
  <cols>
    <col min="1" max="1" width="13.140625" bestFit="1" customWidth="1"/>
    <col min="2" max="2" width="26.42578125" customWidth="1"/>
  </cols>
  <sheetData>
    <row r="3" spans="1:2" x14ac:dyDescent="0.25">
      <c r="A3" s="55" t="s">
        <v>2</v>
      </c>
      <c r="B3" t="s">
        <v>210</v>
      </c>
    </row>
    <row r="4" spans="1:2" x14ac:dyDescent="0.25">
      <c r="A4" s="56" t="s">
        <v>21</v>
      </c>
      <c r="B4" s="34">
        <v>387</v>
      </c>
    </row>
    <row r="5" spans="1:2" x14ac:dyDescent="0.25">
      <c r="A5" s="56" t="s">
        <v>30</v>
      </c>
      <c r="B5" s="34">
        <v>200</v>
      </c>
    </row>
    <row r="6" spans="1:2" x14ac:dyDescent="0.25">
      <c r="A6" s="56" t="s">
        <v>41</v>
      </c>
      <c r="B6" s="34">
        <v>301</v>
      </c>
    </row>
    <row r="7" spans="1:2" x14ac:dyDescent="0.25">
      <c r="A7" s="56" t="s">
        <v>57</v>
      </c>
      <c r="B7" s="34">
        <v>196</v>
      </c>
    </row>
    <row r="8" spans="1:2" x14ac:dyDescent="0.25">
      <c r="A8" s="56" t="s">
        <v>37</v>
      </c>
      <c r="B8" s="34">
        <v>292</v>
      </c>
    </row>
    <row r="9" spans="1:2" x14ac:dyDescent="0.25">
      <c r="A9" s="56" t="s">
        <v>205</v>
      </c>
      <c r="B9" s="34">
        <v>1376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5703125" defaultRowHeight="15" x14ac:dyDescent="0.25"/>
  <cols>
    <col min="1" max="1" width="10" customWidth="1"/>
    <col min="2" max="2" width="20" style="10" customWidth="1"/>
    <col min="3" max="3" width="14" customWidth="1"/>
    <col min="4" max="4" width="10" customWidth="1"/>
    <col min="5" max="5" width="14" customWidth="1"/>
    <col min="6" max="6" width="25.28515625" style="14" customWidth="1"/>
    <col min="7" max="7" width="13" customWidth="1"/>
    <col min="8" max="8" width="8" customWidth="1"/>
    <col min="9" max="9" width="18" style="18" customWidth="1"/>
    <col min="10" max="10" width="13.140625" style="22" customWidth="1"/>
    <col min="11" max="11" width="12" style="26" customWidth="1"/>
    <col min="12" max="12" width="16" style="29" customWidth="1"/>
    <col min="13" max="13" width="16" customWidth="1"/>
    <col min="14" max="14" width="15" customWidth="1"/>
    <col min="15" max="15" width="18.42578125" customWidth="1"/>
    <col min="16" max="17" width="16" customWidth="1"/>
    <col min="18" max="18" width="18" customWidth="1"/>
    <col min="19" max="19" width="10" style="10" customWidth="1"/>
    <col min="20" max="20" width="19.28515625" style="42" customWidth="1"/>
    <col min="21" max="21" width="19.28515625" style="40" customWidth="1"/>
    <col min="22" max="22" width="19.28515625" style="49" customWidth="1"/>
    <col min="23" max="23" width="19.28515625" style="46" customWidth="1"/>
    <col min="24" max="24" width="19.28515625" style="51" customWidth="1"/>
    <col min="25" max="25" width="19.28515625" style="34" customWidth="1"/>
    <col min="26" max="26" width="21.5703125" style="34" customWidth="1"/>
    <col min="27" max="27" width="27.140625" bestFit="1" customWidth="1"/>
    <col min="28" max="28" width="14" customWidth="1"/>
    <col min="29" max="29" width="17.5703125" customWidth="1"/>
    <col min="30" max="30" width="16.7109375" customWidth="1"/>
  </cols>
  <sheetData>
    <row r="1" spans="1:30" ht="30" customHeight="1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" t="s">
        <v>6</v>
      </c>
      <c r="H1" s="1" t="s">
        <v>7</v>
      </c>
      <c r="I1" s="15" t="s">
        <v>8</v>
      </c>
      <c r="J1" s="19" t="s">
        <v>9</v>
      </c>
      <c r="K1" s="23" t="s">
        <v>10</v>
      </c>
      <c r="L1" s="27" t="s">
        <v>11</v>
      </c>
      <c r="M1" s="1" t="s">
        <v>12</v>
      </c>
      <c r="N1" s="1" t="s">
        <v>13</v>
      </c>
      <c r="O1" s="53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33" t="s">
        <v>197</v>
      </c>
      <c r="U1" s="33" t="s">
        <v>198</v>
      </c>
      <c r="V1" s="47" t="s">
        <v>199</v>
      </c>
      <c r="W1" s="44" t="s">
        <v>200</v>
      </c>
      <c r="X1" s="50" t="s">
        <v>201</v>
      </c>
      <c r="Y1" s="33"/>
      <c r="Z1" s="32"/>
      <c r="AA1" s="52" t="s">
        <v>179</v>
      </c>
      <c r="AB1" s="53" t="s">
        <v>182</v>
      </c>
      <c r="AC1" s="53" t="s">
        <v>202</v>
      </c>
      <c r="AD1" s="54" t="s">
        <v>203</v>
      </c>
    </row>
    <row r="2" spans="1:30" ht="15" customHeight="1" x14ac:dyDescent="0.25">
      <c r="A2" s="30" t="s">
        <v>19</v>
      </c>
      <c r="B2" s="8" t="s">
        <v>20</v>
      </c>
      <c r="C2" s="2" t="s">
        <v>21</v>
      </c>
      <c r="D2" s="2" t="s">
        <v>22</v>
      </c>
      <c r="E2" s="2" t="s">
        <v>23</v>
      </c>
      <c r="F2" s="12">
        <v>43539</v>
      </c>
      <c r="G2" s="2" t="s">
        <v>24</v>
      </c>
      <c r="H2" s="2" t="s">
        <v>25</v>
      </c>
      <c r="I2" s="16">
        <v>420000</v>
      </c>
      <c r="J2" s="20">
        <v>63000</v>
      </c>
      <c r="K2" s="24">
        <v>46200</v>
      </c>
      <c r="L2" s="28">
        <f>I2-J2-K2</f>
        <v>310800</v>
      </c>
      <c r="M2" s="2">
        <v>21</v>
      </c>
      <c r="N2" s="2">
        <v>14</v>
      </c>
      <c r="O2">
        <v>7</v>
      </c>
      <c r="P2" s="2">
        <v>88</v>
      </c>
      <c r="Q2" s="2" t="s">
        <v>26</v>
      </c>
      <c r="R2" s="2">
        <v>24</v>
      </c>
      <c r="S2" s="8" t="s">
        <v>27</v>
      </c>
      <c r="T2" s="43" t="str">
        <f>IF(O2 = 0, "Exhausted",IF(O2&lt;=5,"Low","Available"))</f>
        <v>Available</v>
      </c>
      <c r="U2" s="43" t="str">
        <f>IF(P2&gt;=85,"Excellent",IF(P2&gt;=70,"Good","NeedsImprovement"))</f>
        <v>Excellent</v>
      </c>
      <c r="V2" s="48">
        <f>YEAR(F:F)</f>
        <v>2019</v>
      </c>
      <c r="W2" s="45" t="str">
        <f>TEXT(F2,"MMMM")</f>
        <v>March</v>
      </c>
      <c r="X2" s="48">
        <f ca="1">DATEDIF(F2,TODAY(),"Y")</f>
        <v>7</v>
      </c>
      <c r="Y2" s="35" t="s">
        <v>192</v>
      </c>
      <c r="Z2" s="36">
        <f>SUM(I:I)</f>
        <v>26350000</v>
      </c>
      <c r="AA2" s="34" t="str">
        <f>VLOOKUP(Staff_Records!D2,Grade_Scale!$A:$G,2,FALSE)</f>
        <v>Manager</v>
      </c>
      <c r="AB2">
        <f>VLOOKUP(D2,Grade_Scale!$A:$G,5,FALSE)</f>
        <v>0.11</v>
      </c>
      <c r="AC2" s="18">
        <f>I2*AB2</f>
        <v>46200</v>
      </c>
      <c r="AD2" t="str">
        <f>IF(K:K =AC:AC, "Correct","Mismatch")</f>
        <v>Correct</v>
      </c>
    </row>
    <row r="3" spans="1:30" ht="15" customHeight="1" x14ac:dyDescent="0.25">
      <c r="A3" s="3" t="s">
        <v>28</v>
      </c>
      <c r="B3" s="9" t="s">
        <v>29</v>
      </c>
      <c r="C3" s="3" t="s">
        <v>30</v>
      </c>
      <c r="D3" s="3" t="s">
        <v>31</v>
      </c>
      <c r="E3" s="3" t="s">
        <v>32</v>
      </c>
      <c r="F3" s="13">
        <v>44013</v>
      </c>
      <c r="G3" s="3" t="s">
        <v>24</v>
      </c>
      <c r="H3" s="3" t="s">
        <v>33</v>
      </c>
      <c r="I3" s="17">
        <v>310000</v>
      </c>
      <c r="J3" s="21">
        <v>46500</v>
      </c>
      <c r="K3" s="25">
        <v>34100</v>
      </c>
      <c r="L3" s="28">
        <f t="shared" ref="L3:L66" si="0">I3-J3-K3</f>
        <v>229400</v>
      </c>
      <c r="M3" s="3">
        <v>21</v>
      </c>
      <c r="N3" s="3">
        <v>21</v>
      </c>
      <c r="O3">
        <v>0</v>
      </c>
      <c r="P3" s="3">
        <v>74</v>
      </c>
      <c r="Q3" s="3" t="s">
        <v>34</v>
      </c>
      <c r="R3" s="3">
        <v>18</v>
      </c>
      <c r="S3" s="9" t="s">
        <v>27</v>
      </c>
      <c r="T3" s="43" t="str">
        <f t="shared" ref="T3:T66" si="1">IF(O3 = 0, "Exhausted",IF(O3&lt;=5,"Low","Available"))</f>
        <v>Exhausted</v>
      </c>
      <c r="U3" s="43" t="str">
        <f t="shared" ref="U3:U66" si="2">IF(P3&gt;=85,"Excellent",IF(P3&gt;=70,"Good","NeedsImprovement"))</f>
        <v>Good</v>
      </c>
      <c r="V3" s="48">
        <f t="shared" ref="V3:V66" si="3">YEAR(F:F)</f>
        <v>2020</v>
      </c>
      <c r="W3" s="45" t="str">
        <f t="shared" ref="W3:W66" si="4">TEXT(F3,"MMMM")</f>
        <v>July</v>
      </c>
      <c r="X3" s="48">
        <f t="shared" ref="X3:X66" ca="1" si="5">DATEDIF(F3,TODAY(),"Y")</f>
        <v>5</v>
      </c>
      <c r="Y3" s="35" t="s">
        <v>193</v>
      </c>
      <c r="Z3" s="36">
        <f>SUM(L:L)</f>
        <v>19499000</v>
      </c>
      <c r="AA3" s="34" t="str">
        <f>VLOOKUP(Staff_Records!D3,Grade_Scale!$A:$G,2,FALSE)</f>
        <v>Senior Associate</v>
      </c>
      <c r="AB3">
        <f>VLOOKUP(D3,Grade_Scale!$A:$G,5,FALSE)</f>
        <v>0.1</v>
      </c>
      <c r="AC3" s="18">
        <f t="shared" ref="AC3:AC66" si="6">I3*AB3</f>
        <v>31000</v>
      </c>
      <c r="AD3" t="str">
        <f t="shared" ref="AD3:AD66" si="7">IF(K:K =AC:AC, "Correct","Mismatch")</f>
        <v>Mismatch</v>
      </c>
    </row>
    <row r="4" spans="1:30" ht="15" customHeight="1" x14ac:dyDescent="0.25">
      <c r="A4" s="2" t="s">
        <v>35</v>
      </c>
      <c r="B4" s="8" t="s">
        <v>36</v>
      </c>
      <c r="C4" s="2" t="s">
        <v>37</v>
      </c>
      <c r="D4" s="2" t="s">
        <v>38</v>
      </c>
      <c r="E4" s="2" t="s">
        <v>23</v>
      </c>
      <c r="F4" s="12">
        <v>42745</v>
      </c>
      <c r="G4" s="2" t="s">
        <v>24</v>
      </c>
      <c r="H4" s="2" t="s">
        <v>25</v>
      </c>
      <c r="I4" s="16">
        <v>580000</v>
      </c>
      <c r="J4" s="20">
        <v>87000</v>
      </c>
      <c r="K4" s="24">
        <v>63800</v>
      </c>
      <c r="L4" s="28">
        <f t="shared" si="0"/>
        <v>429200</v>
      </c>
      <c r="M4" s="2">
        <v>21</v>
      </c>
      <c r="N4" s="2">
        <v>7</v>
      </c>
      <c r="O4">
        <v>14</v>
      </c>
      <c r="P4" s="2">
        <v>92</v>
      </c>
      <c r="Q4" s="2" t="s">
        <v>26</v>
      </c>
      <c r="R4" s="2">
        <v>32</v>
      </c>
      <c r="S4" s="8" t="s">
        <v>27</v>
      </c>
      <c r="T4" s="43" t="str">
        <f t="shared" si="1"/>
        <v>Available</v>
      </c>
      <c r="U4" s="43" t="str">
        <f t="shared" si="2"/>
        <v>Excellent</v>
      </c>
      <c r="V4" s="48">
        <f t="shared" si="3"/>
        <v>2017</v>
      </c>
      <c r="W4" s="45" t="str">
        <f t="shared" si="4"/>
        <v>January</v>
      </c>
      <c r="X4" s="48">
        <f t="shared" ca="1" si="5"/>
        <v>9</v>
      </c>
      <c r="Y4" s="35" t="s">
        <v>194</v>
      </c>
      <c r="Z4" s="36">
        <f>AVERAGE(I:I)</f>
        <v>399242.42424242425</v>
      </c>
      <c r="AA4" s="34" t="str">
        <f>VLOOKUP(Staff_Records!D4,Grade_Scale!$A:$G,2,FALSE)</f>
        <v>Senior Manager</v>
      </c>
      <c r="AB4">
        <f>VLOOKUP(D4,Grade_Scale!$A:$G,5,FALSE)</f>
        <v>0.11</v>
      </c>
      <c r="AC4" s="18">
        <f t="shared" si="6"/>
        <v>63800</v>
      </c>
      <c r="AD4" t="str">
        <f t="shared" si="7"/>
        <v>Correct</v>
      </c>
    </row>
    <row r="5" spans="1:30" ht="15" customHeight="1" x14ac:dyDescent="0.25">
      <c r="A5" s="3" t="s">
        <v>39</v>
      </c>
      <c r="B5" s="9" t="s">
        <v>40</v>
      </c>
      <c r="C5" s="3" t="s">
        <v>41</v>
      </c>
      <c r="D5" s="3" t="s">
        <v>31</v>
      </c>
      <c r="E5" s="3" t="s">
        <v>42</v>
      </c>
      <c r="F5" s="13">
        <v>44308</v>
      </c>
      <c r="G5" s="3" t="s">
        <v>43</v>
      </c>
      <c r="H5" s="3" t="s">
        <v>33</v>
      </c>
      <c r="I5" s="17">
        <v>275000</v>
      </c>
      <c r="J5" s="21">
        <v>41250</v>
      </c>
      <c r="K5" s="25">
        <v>30250</v>
      </c>
      <c r="L5" s="28">
        <f t="shared" si="0"/>
        <v>203500</v>
      </c>
      <c r="M5" s="3">
        <v>14</v>
      </c>
      <c r="N5" s="3">
        <v>14</v>
      </c>
      <c r="O5">
        <v>0</v>
      </c>
      <c r="P5" s="3">
        <v>68</v>
      </c>
      <c r="Q5" s="3" t="s">
        <v>34</v>
      </c>
      <c r="R5" s="3">
        <v>15</v>
      </c>
      <c r="S5" s="9" t="s">
        <v>27</v>
      </c>
      <c r="T5" s="43" t="str">
        <f t="shared" si="1"/>
        <v>Exhausted</v>
      </c>
      <c r="U5" s="43" t="str">
        <f t="shared" si="2"/>
        <v>NeedsImprovement</v>
      </c>
      <c r="V5" s="48">
        <f t="shared" si="3"/>
        <v>2021</v>
      </c>
      <c r="W5" s="45" t="str">
        <f t="shared" si="4"/>
        <v>April</v>
      </c>
      <c r="X5" s="48">
        <f t="shared" ca="1" si="5"/>
        <v>4</v>
      </c>
      <c r="Y5" s="37" t="s">
        <v>195</v>
      </c>
      <c r="Z5" s="38">
        <f>MAX(L:L)</f>
        <v>725200</v>
      </c>
      <c r="AA5" s="34" t="str">
        <f>VLOOKUP(Staff_Records!D5,Grade_Scale!$A:$G,2,FALSE)</f>
        <v>Senior Associate</v>
      </c>
      <c r="AB5">
        <f>VLOOKUP(D5,Grade_Scale!$A:$G,5,FALSE)</f>
        <v>0.1</v>
      </c>
      <c r="AC5" s="18">
        <f t="shared" si="6"/>
        <v>27500</v>
      </c>
      <c r="AD5" t="str">
        <f t="shared" si="7"/>
        <v>Mismatch</v>
      </c>
    </row>
    <row r="6" spans="1:30" ht="15" customHeight="1" x14ac:dyDescent="0.25">
      <c r="A6" s="2" t="s">
        <v>44</v>
      </c>
      <c r="B6" s="8" t="s">
        <v>45</v>
      </c>
      <c r="C6" s="2" t="s">
        <v>21</v>
      </c>
      <c r="D6" s="2" t="s">
        <v>38</v>
      </c>
      <c r="E6" s="2" t="s">
        <v>46</v>
      </c>
      <c r="F6" s="12">
        <v>42618</v>
      </c>
      <c r="G6" s="2" t="s">
        <v>24</v>
      </c>
      <c r="H6" s="2" t="s">
        <v>33</v>
      </c>
      <c r="I6" s="16">
        <v>620000</v>
      </c>
      <c r="J6" s="20">
        <v>93000</v>
      </c>
      <c r="K6" s="24">
        <v>68200</v>
      </c>
      <c r="L6" s="28">
        <f t="shared" si="0"/>
        <v>458800</v>
      </c>
      <c r="M6" s="2">
        <v>21</v>
      </c>
      <c r="N6" s="2">
        <v>10</v>
      </c>
      <c r="O6">
        <v>11</v>
      </c>
      <c r="P6" s="2">
        <v>95</v>
      </c>
      <c r="Q6" s="2" t="s">
        <v>26</v>
      </c>
      <c r="R6" s="2">
        <v>40</v>
      </c>
      <c r="S6" s="41" t="s">
        <v>27</v>
      </c>
      <c r="T6" s="43" t="str">
        <f t="shared" si="1"/>
        <v>Available</v>
      </c>
      <c r="U6" s="43" t="str">
        <f t="shared" si="2"/>
        <v>Excellent</v>
      </c>
      <c r="V6" s="48">
        <f t="shared" si="3"/>
        <v>2016</v>
      </c>
      <c r="W6" s="45" t="str">
        <f t="shared" si="4"/>
        <v>September</v>
      </c>
      <c r="X6" s="48">
        <f t="shared" ca="1" si="5"/>
        <v>9</v>
      </c>
      <c r="Y6" s="37" t="s">
        <v>196</v>
      </c>
      <c r="Z6" s="39">
        <f>MIN(L:L)</f>
        <v>144300</v>
      </c>
      <c r="AA6" s="34" t="str">
        <f>VLOOKUP(Staff_Records!D6,Grade_Scale!$A:$G,2,FALSE)</f>
        <v>Senior Manager</v>
      </c>
      <c r="AB6">
        <f>VLOOKUP(D6,Grade_Scale!$A:$G,5,FALSE)</f>
        <v>0.11</v>
      </c>
      <c r="AC6" s="18">
        <f t="shared" si="6"/>
        <v>68200</v>
      </c>
      <c r="AD6" t="str">
        <f t="shared" si="7"/>
        <v>Correct</v>
      </c>
    </row>
    <row r="7" spans="1:30" ht="15" customHeight="1" x14ac:dyDescent="0.25">
      <c r="A7" s="3" t="s">
        <v>47</v>
      </c>
      <c r="B7" s="9" t="s">
        <v>48</v>
      </c>
      <c r="C7" s="3" t="s">
        <v>30</v>
      </c>
      <c r="D7" s="3" t="s">
        <v>49</v>
      </c>
      <c r="E7" s="3" t="s">
        <v>32</v>
      </c>
      <c r="F7" s="13">
        <v>44879</v>
      </c>
      <c r="G7" s="3" t="s">
        <v>24</v>
      </c>
      <c r="H7" s="3" t="s">
        <v>25</v>
      </c>
      <c r="I7" s="17">
        <v>220000</v>
      </c>
      <c r="J7" s="21">
        <v>33000</v>
      </c>
      <c r="K7" s="25">
        <v>24200</v>
      </c>
      <c r="L7" s="28">
        <f t="shared" si="0"/>
        <v>162800</v>
      </c>
      <c r="M7" s="3">
        <v>21</v>
      </c>
      <c r="N7" s="3">
        <v>5</v>
      </c>
      <c r="O7">
        <v>16</v>
      </c>
      <c r="P7" s="3">
        <v>55</v>
      </c>
      <c r="Q7" s="3" t="s">
        <v>50</v>
      </c>
      <c r="R7" s="3">
        <v>8</v>
      </c>
      <c r="S7" s="9" t="s">
        <v>27</v>
      </c>
      <c r="T7" s="43" t="str">
        <f t="shared" si="1"/>
        <v>Available</v>
      </c>
      <c r="U7" s="43" t="str">
        <f t="shared" si="2"/>
        <v>NeedsImprovement</v>
      </c>
      <c r="V7" s="48">
        <f t="shared" si="3"/>
        <v>2022</v>
      </c>
      <c r="W7" s="45" t="str">
        <f t="shared" si="4"/>
        <v>November</v>
      </c>
      <c r="X7" s="48">
        <f t="shared" ca="1" si="5"/>
        <v>3</v>
      </c>
      <c r="AA7" s="34" t="str">
        <f>VLOOKUP(Staff_Records!D7,Grade_Scale!$A:$G,2,FALSE)</f>
        <v>Associate</v>
      </c>
      <c r="AB7">
        <f>VLOOKUP(D7,Grade_Scale!$A:$G,5,FALSE)</f>
        <v>0.08</v>
      </c>
      <c r="AC7" s="18">
        <f t="shared" si="6"/>
        <v>17600</v>
      </c>
      <c r="AD7" t="str">
        <f t="shared" si="7"/>
        <v>Mismatch</v>
      </c>
    </row>
    <row r="8" spans="1:30" ht="15" customHeight="1" x14ac:dyDescent="0.25">
      <c r="A8" s="2" t="s">
        <v>51</v>
      </c>
      <c r="B8" s="8" t="s">
        <v>52</v>
      </c>
      <c r="C8" s="2" t="s">
        <v>37</v>
      </c>
      <c r="D8" s="2" t="s">
        <v>31</v>
      </c>
      <c r="E8" s="2" t="s">
        <v>23</v>
      </c>
      <c r="F8" s="12">
        <v>43889</v>
      </c>
      <c r="G8" s="30" t="s">
        <v>24</v>
      </c>
      <c r="H8" s="2" t="s">
        <v>25</v>
      </c>
      <c r="I8" s="16">
        <v>305000</v>
      </c>
      <c r="J8" s="20">
        <v>45750</v>
      </c>
      <c r="K8" s="24">
        <v>33550</v>
      </c>
      <c r="L8" s="28">
        <f t="shared" si="0"/>
        <v>225700</v>
      </c>
      <c r="M8" s="2">
        <v>21</v>
      </c>
      <c r="N8" s="2">
        <v>21</v>
      </c>
      <c r="O8">
        <v>0</v>
      </c>
      <c r="P8" s="2">
        <v>79</v>
      </c>
      <c r="Q8" s="2" t="s">
        <v>34</v>
      </c>
      <c r="R8" s="2">
        <v>22</v>
      </c>
      <c r="S8" s="8" t="s">
        <v>27</v>
      </c>
      <c r="T8" s="43" t="str">
        <f t="shared" si="1"/>
        <v>Exhausted</v>
      </c>
      <c r="U8" s="43" t="str">
        <f t="shared" si="2"/>
        <v>Good</v>
      </c>
      <c r="V8" s="48">
        <f t="shared" si="3"/>
        <v>2020</v>
      </c>
      <c r="W8" s="45" t="str">
        <f t="shared" si="4"/>
        <v>February</v>
      </c>
      <c r="X8" s="48">
        <f t="shared" ca="1" si="5"/>
        <v>6</v>
      </c>
      <c r="AA8" s="34" t="str">
        <f>VLOOKUP(Staff_Records!D8,Grade_Scale!$A:$G,2,FALSE)</f>
        <v>Senior Associate</v>
      </c>
      <c r="AB8">
        <f>VLOOKUP(D8,Grade_Scale!$A:$G,5,FALSE)</f>
        <v>0.1</v>
      </c>
      <c r="AC8" s="18">
        <f t="shared" si="6"/>
        <v>30500</v>
      </c>
      <c r="AD8" t="str">
        <f t="shared" si="7"/>
        <v>Mismatch</v>
      </c>
    </row>
    <row r="9" spans="1:30" ht="15" customHeight="1" x14ac:dyDescent="0.25">
      <c r="A9" s="3" t="s">
        <v>53</v>
      </c>
      <c r="B9" s="9" t="s">
        <v>54</v>
      </c>
      <c r="C9" s="3" t="s">
        <v>41</v>
      </c>
      <c r="D9" s="3" t="s">
        <v>22</v>
      </c>
      <c r="E9" s="3" t="s">
        <v>32</v>
      </c>
      <c r="F9" s="13">
        <v>43268</v>
      </c>
      <c r="G9" s="3" t="s">
        <v>24</v>
      </c>
      <c r="H9" s="3" t="s">
        <v>33</v>
      </c>
      <c r="I9" s="17">
        <v>410000</v>
      </c>
      <c r="J9" s="21">
        <v>61500</v>
      </c>
      <c r="K9" s="25">
        <v>45100</v>
      </c>
      <c r="L9" s="28">
        <f t="shared" si="0"/>
        <v>303400</v>
      </c>
      <c r="M9" s="3">
        <v>21</v>
      </c>
      <c r="N9" s="3">
        <v>3</v>
      </c>
      <c r="O9">
        <v>18</v>
      </c>
      <c r="P9" s="3">
        <v>85</v>
      </c>
      <c r="Q9" s="3" t="s">
        <v>26</v>
      </c>
      <c r="R9" s="3">
        <v>28</v>
      </c>
      <c r="S9" s="9" t="s">
        <v>27</v>
      </c>
      <c r="T9" s="43" t="str">
        <f t="shared" si="1"/>
        <v>Available</v>
      </c>
      <c r="U9" s="43" t="str">
        <f t="shared" si="2"/>
        <v>Excellent</v>
      </c>
      <c r="V9" s="48">
        <f t="shared" si="3"/>
        <v>2018</v>
      </c>
      <c r="W9" s="45" t="str">
        <f t="shared" si="4"/>
        <v>June</v>
      </c>
      <c r="X9" s="48">
        <f t="shared" ca="1" si="5"/>
        <v>7</v>
      </c>
      <c r="AA9" s="34" t="str">
        <f>VLOOKUP(Staff_Records!D9,Grade_Scale!$A:$G,2,FALSE)</f>
        <v>Manager</v>
      </c>
      <c r="AB9">
        <f>VLOOKUP(D9,Grade_Scale!$A:$G,5,FALSE)</f>
        <v>0.11</v>
      </c>
      <c r="AC9" s="18">
        <f t="shared" si="6"/>
        <v>45100</v>
      </c>
      <c r="AD9" t="str">
        <f t="shared" si="7"/>
        <v>Correct</v>
      </c>
    </row>
    <row r="10" spans="1:30" ht="15" customHeight="1" x14ac:dyDescent="0.25">
      <c r="A10" s="2" t="s">
        <v>55</v>
      </c>
      <c r="B10" s="8" t="s">
        <v>56</v>
      </c>
      <c r="C10" s="2" t="s">
        <v>57</v>
      </c>
      <c r="D10" s="2" t="s">
        <v>31</v>
      </c>
      <c r="E10" s="2" t="s">
        <v>23</v>
      </c>
      <c r="F10" s="12">
        <v>44417</v>
      </c>
      <c r="G10" s="2" t="s">
        <v>24</v>
      </c>
      <c r="H10" s="2" t="s">
        <v>25</v>
      </c>
      <c r="I10" s="16">
        <v>295000</v>
      </c>
      <c r="J10" s="20">
        <v>44250</v>
      </c>
      <c r="K10" s="24">
        <v>32450</v>
      </c>
      <c r="L10" s="28">
        <f t="shared" si="0"/>
        <v>218300</v>
      </c>
      <c r="M10" s="2">
        <v>21</v>
      </c>
      <c r="N10" s="2">
        <v>0</v>
      </c>
      <c r="O10">
        <v>21</v>
      </c>
      <c r="P10" s="2">
        <v>0</v>
      </c>
      <c r="Q10" s="2" t="s">
        <v>58</v>
      </c>
      <c r="R10" s="2">
        <v>0</v>
      </c>
      <c r="S10" s="8" t="s">
        <v>27</v>
      </c>
      <c r="T10" s="43" t="str">
        <f t="shared" si="1"/>
        <v>Available</v>
      </c>
      <c r="U10" s="43" t="str">
        <f t="shared" si="2"/>
        <v>NeedsImprovement</v>
      </c>
      <c r="V10" s="48">
        <f t="shared" si="3"/>
        <v>2021</v>
      </c>
      <c r="W10" s="45" t="str">
        <f t="shared" si="4"/>
        <v>August</v>
      </c>
      <c r="X10" s="48">
        <f t="shared" ca="1" si="5"/>
        <v>4</v>
      </c>
      <c r="Z10" s="29"/>
      <c r="AA10" s="34" t="str">
        <f>VLOOKUP(Staff_Records!D10,Grade_Scale!$A:$G,2,FALSE)</f>
        <v>Senior Associate</v>
      </c>
      <c r="AB10">
        <f>VLOOKUP(D10,Grade_Scale!$A:$G,5,FALSE)</f>
        <v>0.1</v>
      </c>
      <c r="AC10" s="18">
        <f t="shared" si="6"/>
        <v>29500</v>
      </c>
      <c r="AD10" t="str">
        <f t="shared" si="7"/>
        <v>Mismatch</v>
      </c>
    </row>
    <row r="11" spans="1:30" ht="15" customHeight="1" x14ac:dyDescent="0.25">
      <c r="A11" s="3" t="s">
        <v>59</v>
      </c>
      <c r="B11" s="9" t="s">
        <v>60</v>
      </c>
      <c r="C11" s="3" t="s">
        <v>21</v>
      </c>
      <c r="D11" s="3" t="s">
        <v>61</v>
      </c>
      <c r="E11" s="3" t="s">
        <v>23</v>
      </c>
      <c r="F11" s="13">
        <v>41718</v>
      </c>
      <c r="G11" s="3" t="s">
        <v>24</v>
      </c>
      <c r="H11" s="3" t="s">
        <v>33</v>
      </c>
      <c r="I11" s="17">
        <v>850000</v>
      </c>
      <c r="J11" s="21">
        <v>127500</v>
      </c>
      <c r="K11" s="25">
        <v>93500</v>
      </c>
      <c r="L11" s="28">
        <f t="shared" si="0"/>
        <v>629000</v>
      </c>
      <c r="M11" s="3">
        <v>21</v>
      </c>
      <c r="N11" s="3">
        <v>14</v>
      </c>
      <c r="O11">
        <v>7</v>
      </c>
      <c r="P11" s="3">
        <v>96</v>
      </c>
      <c r="Q11" s="3" t="s">
        <v>26</v>
      </c>
      <c r="R11" s="3">
        <v>45</v>
      </c>
      <c r="S11" s="9" t="s">
        <v>27</v>
      </c>
      <c r="T11" s="43" t="str">
        <f t="shared" si="1"/>
        <v>Available</v>
      </c>
      <c r="U11" s="43" t="str">
        <f t="shared" si="2"/>
        <v>Excellent</v>
      </c>
      <c r="V11" s="48">
        <f t="shared" si="3"/>
        <v>2014</v>
      </c>
      <c r="W11" s="45" t="str">
        <f t="shared" si="4"/>
        <v>March</v>
      </c>
      <c r="X11" s="48">
        <f t="shared" ca="1" si="5"/>
        <v>12</v>
      </c>
      <c r="AA11" s="34" t="str">
        <f>VLOOKUP(Staff_Records!D11,Grade_Scale!$A:$G,2,FALSE)</f>
        <v>Director</v>
      </c>
      <c r="AB11">
        <f>VLOOKUP(D11,Grade_Scale!$A:$G,5,FALSE)</f>
        <v>0.11</v>
      </c>
      <c r="AC11" s="18">
        <f t="shared" si="6"/>
        <v>93500</v>
      </c>
      <c r="AD11" t="str">
        <f t="shared" si="7"/>
        <v>Correct</v>
      </c>
    </row>
    <row r="12" spans="1:30" ht="15" customHeight="1" x14ac:dyDescent="0.25">
      <c r="A12" s="2" t="s">
        <v>62</v>
      </c>
      <c r="B12" s="8" t="s">
        <v>63</v>
      </c>
      <c r="C12" s="2" t="s">
        <v>57</v>
      </c>
      <c r="D12" s="2" t="s">
        <v>49</v>
      </c>
      <c r="E12" s="2" t="s">
        <v>64</v>
      </c>
      <c r="F12" s="12">
        <v>44942</v>
      </c>
      <c r="G12" s="2" t="s">
        <v>43</v>
      </c>
      <c r="H12" s="2" t="s">
        <v>25</v>
      </c>
      <c r="I12" s="16">
        <v>195000</v>
      </c>
      <c r="J12" s="20">
        <v>29250</v>
      </c>
      <c r="K12" s="24">
        <v>21450</v>
      </c>
      <c r="L12" s="28">
        <f t="shared" si="0"/>
        <v>144300</v>
      </c>
      <c r="M12" s="2">
        <v>14</v>
      </c>
      <c r="N12" s="2">
        <v>7</v>
      </c>
      <c r="O12">
        <v>7</v>
      </c>
      <c r="P12" s="2">
        <v>62</v>
      </c>
      <c r="Q12" s="2" t="s">
        <v>50</v>
      </c>
      <c r="R12" s="2">
        <v>10</v>
      </c>
      <c r="S12" s="8" t="s">
        <v>27</v>
      </c>
      <c r="T12" s="43" t="str">
        <f t="shared" si="1"/>
        <v>Available</v>
      </c>
      <c r="U12" s="43" t="str">
        <f t="shared" si="2"/>
        <v>NeedsImprovement</v>
      </c>
      <c r="V12" s="48">
        <f t="shared" si="3"/>
        <v>2023</v>
      </c>
      <c r="W12" s="45" t="str">
        <f t="shared" si="4"/>
        <v>January</v>
      </c>
      <c r="X12" s="48">
        <f t="shared" ca="1" si="5"/>
        <v>3</v>
      </c>
      <c r="AA12" s="34" t="str">
        <f>VLOOKUP(Staff_Records!D12,Grade_Scale!$A:$G,2,FALSE)</f>
        <v>Associate</v>
      </c>
      <c r="AB12">
        <f>VLOOKUP(D12,Grade_Scale!$A:$G,5,FALSE)</f>
        <v>0.08</v>
      </c>
      <c r="AC12" s="18">
        <f t="shared" si="6"/>
        <v>15600</v>
      </c>
      <c r="AD12" t="str">
        <f t="shared" si="7"/>
        <v>Mismatch</v>
      </c>
    </row>
    <row r="13" spans="1:30" ht="15" customHeight="1" x14ac:dyDescent="0.25">
      <c r="A13" s="3" t="s">
        <v>65</v>
      </c>
      <c r="B13" s="9" t="s">
        <v>66</v>
      </c>
      <c r="C13" s="3" t="s">
        <v>37</v>
      </c>
      <c r="D13" s="3" t="s">
        <v>22</v>
      </c>
      <c r="E13" s="3" t="s">
        <v>67</v>
      </c>
      <c r="F13" s="13">
        <v>43741</v>
      </c>
      <c r="G13" s="3" t="s">
        <v>24</v>
      </c>
      <c r="H13" s="3" t="s">
        <v>33</v>
      </c>
      <c r="I13" s="17">
        <v>390000</v>
      </c>
      <c r="J13" s="21">
        <v>58500</v>
      </c>
      <c r="K13" s="25">
        <v>42900</v>
      </c>
      <c r="L13" s="28">
        <f t="shared" si="0"/>
        <v>288600</v>
      </c>
      <c r="M13" s="3">
        <v>21</v>
      </c>
      <c r="N13" s="3">
        <v>21</v>
      </c>
      <c r="O13">
        <v>0</v>
      </c>
      <c r="P13" s="3">
        <v>77</v>
      </c>
      <c r="Q13" s="3" t="s">
        <v>34</v>
      </c>
      <c r="R13" s="3">
        <v>20</v>
      </c>
      <c r="S13" s="9" t="s">
        <v>27</v>
      </c>
      <c r="T13" s="43" t="str">
        <f t="shared" si="1"/>
        <v>Exhausted</v>
      </c>
      <c r="U13" s="43" t="str">
        <f t="shared" si="2"/>
        <v>Good</v>
      </c>
      <c r="V13" s="48">
        <f t="shared" si="3"/>
        <v>2019</v>
      </c>
      <c r="W13" s="45" t="str">
        <f t="shared" si="4"/>
        <v>October</v>
      </c>
      <c r="X13" s="48">
        <f t="shared" ca="1" si="5"/>
        <v>6</v>
      </c>
      <c r="AA13" s="34" t="str">
        <f>VLOOKUP(Staff_Records!D13,Grade_Scale!$A:$G,2,FALSE)</f>
        <v>Manager</v>
      </c>
      <c r="AB13">
        <f>VLOOKUP(D13,Grade_Scale!$A:$G,5,FALSE)</f>
        <v>0.11</v>
      </c>
      <c r="AC13" s="18">
        <f t="shared" si="6"/>
        <v>42900</v>
      </c>
      <c r="AD13" t="str">
        <f t="shared" si="7"/>
        <v>Correct</v>
      </c>
    </row>
    <row r="14" spans="1:30" ht="15" customHeight="1" x14ac:dyDescent="0.25">
      <c r="A14" s="2" t="s">
        <v>68</v>
      </c>
      <c r="B14" s="8" t="s">
        <v>69</v>
      </c>
      <c r="C14" s="2" t="s">
        <v>30</v>
      </c>
      <c r="D14" s="2" t="s">
        <v>31</v>
      </c>
      <c r="E14" s="2" t="s">
        <v>23</v>
      </c>
      <c r="F14" s="12">
        <v>43962</v>
      </c>
      <c r="G14" s="2" t="s">
        <v>24</v>
      </c>
      <c r="H14" s="2" t="s">
        <v>25</v>
      </c>
      <c r="I14" s="16">
        <v>315000</v>
      </c>
      <c r="J14" s="20">
        <v>47250</v>
      </c>
      <c r="K14" s="24">
        <v>34650</v>
      </c>
      <c r="L14" s="28">
        <f t="shared" si="0"/>
        <v>233100</v>
      </c>
      <c r="M14" s="2">
        <v>21</v>
      </c>
      <c r="N14" s="2">
        <v>14</v>
      </c>
      <c r="O14">
        <v>7</v>
      </c>
      <c r="P14" s="2">
        <v>81</v>
      </c>
      <c r="Q14" s="2" t="s">
        <v>34</v>
      </c>
      <c r="R14" s="2">
        <v>19</v>
      </c>
      <c r="S14" s="8" t="s">
        <v>27</v>
      </c>
      <c r="T14" s="43" t="str">
        <f t="shared" si="1"/>
        <v>Available</v>
      </c>
      <c r="U14" s="43" t="str">
        <f t="shared" si="2"/>
        <v>Good</v>
      </c>
      <c r="V14" s="48">
        <f t="shared" si="3"/>
        <v>2020</v>
      </c>
      <c r="W14" s="45" t="str">
        <f t="shared" si="4"/>
        <v>May</v>
      </c>
      <c r="X14" s="48">
        <f t="shared" ca="1" si="5"/>
        <v>5</v>
      </c>
      <c r="AA14" s="34" t="str">
        <f>VLOOKUP(Staff_Records!D14,Grade_Scale!$A:$G,2,FALSE)</f>
        <v>Senior Associate</v>
      </c>
      <c r="AB14">
        <f>VLOOKUP(D14,Grade_Scale!$A:$G,5,FALSE)</f>
        <v>0.1</v>
      </c>
      <c r="AC14" s="18">
        <f t="shared" si="6"/>
        <v>31500</v>
      </c>
      <c r="AD14" t="str">
        <f t="shared" si="7"/>
        <v>Mismatch</v>
      </c>
    </row>
    <row r="15" spans="1:30" ht="15" customHeight="1" x14ac:dyDescent="0.25">
      <c r="A15" s="3" t="s">
        <v>70</v>
      </c>
      <c r="B15" s="9" t="s">
        <v>71</v>
      </c>
      <c r="C15" s="3" t="s">
        <v>21</v>
      </c>
      <c r="D15" s="3" t="s">
        <v>22</v>
      </c>
      <c r="E15" s="3" t="s">
        <v>72</v>
      </c>
      <c r="F15" s="13">
        <v>43435</v>
      </c>
      <c r="G15" s="3" t="s">
        <v>24</v>
      </c>
      <c r="H15" s="3" t="s">
        <v>25</v>
      </c>
      <c r="I15" s="17">
        <v>405000</v>
      </c>
      <c r="J15" s="21">
        <v>60750</v>
      </c>
      <c r="K15" s="25">
        <v>44550</v>
      </c>
      <c r="L15" s="28">
        <f t="shared" si="0"/>
        <v>299700</v>
      </c>
      <c r="M15" s="3">
        <v>21</v>
      </c>
      <c r="N15" s="3">
        <v>21</v>
      </c>
      <c r="O15">
        <v>0</v>
      </c>
      <c r="P15" s="3">
        <v>89</v>
      </c>
      <c r="Q15" s="3" t="s">
        <v>26</v>
      </c>
      <c r="R15" s="3">
        <v>30</v>
      </c>
      <c r="S15" s="9" t="s">
        <v>27</v>
      </c>
      <c r="T15" s="43" t="str">
        <f t="shared" si="1"/>
        <v>Exhausted</v>
      </c>
      <c r="U15" s="43" t="str">
        <f t="shared" si="2"/>
        <v>Excellent</v>
      </c>
      <c r="V15" s="48">
        <f t="shared" si="3"/>
        <v>2018</v>
      </c>
      <c r="W15" s="45" t="str">
        <f t="shared" si="4"/>
        <v>December</v>
      </c>
      <c r="X15" s="48">
        <f t="shared" ca="1" si="5"/>
        <v>7</v>
      </c>
      <c r="AA15" s="34" t="str">
        <f>VLOOKUP(Staff_Records!D15,Grade_Scale!$A:$G,2,FALSE)</f>
        <v>Manager</v>
      </c>
      <c r="AB15">
        <f>VLOOKUP(D15,Grade_Scale!$A:$G,5,FALSE)</f>
        <v>0.11</v>
      </c>
      <c r="AC15" s="18">
        <f t="shared" si="6"/>
        <v>44550</v>
      </c>
      <c r="AD15" t="str">
        <f t="shared" si="7"/>
        <v>Correct</v>
      </c>
    </row>
    <row r="16" spans="1:30" ht="15" customHeight="1" x14ac:dyDescent="0.25">
      <c r="A16" s="2" t="s">
        <v>73</v>
      </c>
      <c r="B16" s="8" t="s">
        <v>74</v>
      </c>
      <c r="C16" s="2" t="s">
        <v>41</v>
      </c>
      <c r="D16" s="2" t="s">
        <v>38</v>
      </c>
      <c r="E16" s="2" t="s">
        <v>23</v>
      </c>
      <c r="F16" s="12">
        <v>42576</v>
      </c>
      <c r="G16" s="2" t="s">
        <v>24</v>
      </c>
      <c r="H16" s="2" t="s">
        <v>33</v>
      </c>
      <c r="I16" s="16">
        <v>590000</v>
      </c>
      <c r="J16" s="20">
        <v>88500</v>
      </c>
      <c r="K16" s="24">
        <v>64900</v>
      </c>
      <c r="L16" s="28">
        <f t="shared" si="0"/>
        <v>436600</v>
      </c>
      <c r="M16" s="2">
        <v>21</v>
      </c>
      <c r="N16" s="2">
        <v>7</v>
      </c>
      <c r="O16">
        <v>14</v>
      </c>
      <c r="P16" s="2">
        <v>91</v>
      </c>
      <c r="Q16" s="2" t="s">
        <v>26</v>
      </c>
      <c r="R16" s="2">
        <v>38</v>
      </c>
      <c r="S16" s="8" t="s">
        <v>27</v>
      </c>
      <c r="T16" s="43" t="str">
        <f t="shared" si="1"/>
        <v>Available</v>
      </c>
      <c r="U16" s="43" t="str">
        <f t="shared" si="2"/>
        <v>Excellent</v>
      </c>
      <c r="V16" s="48">
        <f t="shared" si="3"/>
        <v>2016</v>
      </c>
      <c r="W16" s="45" t="str">
        <f t="shared" si="4"/>
        <v>July</v>
      </c>
      <c r="X16" s="48">
        <f t="shared" ca="1" si="5"/>
        <v>9</v>
      </c>
      <c r="AA16" s="34" t="str">
        <f>VLOOKUP(Staff_Records!D16,Grade_Scale!$A:$G,2,FALSE)</f>
        <v>Senior Manager</v>
      </c>
      <c r="AB16">
        <f>VLOOKUP(D16,Grade_Scale!$A:$G,5,FALSE)</f>
        <v>0.11</v>
      </c>
      <c r="AC16" s="18">
        <f t="shared" si="6"/>
        <v>64900</v>
      </c>
      <c r="AD16" t="str">
        <f t="shared" si="7"/>
        <v>Correct</v>
      </c>
    </row>
    <row r="17" spans="1:30" ht="15" customHeight="1" x14ac:dyDescent="0.25">
      <c r="A17" s="3" t="s">
        <v>75</v>
      </c>
      <c r="B17" s="9" t="s">
        <v>76</v>
      </c>
      <c r="C17" s="3" t="s">
        <v>37</v>
      </c>
      <c r="D17" s="3" t="s">
        <v>49</v>
      </c>
      <c r="E17" s="3" t="s">
        <v>42</v>
      </c>
      <c r="F17" s="13">
        <v>44809</v>
      </c>
      <c r="G17" s="3" t="s">
        <v>24</v>
      </c>
      <c r="H17" s="3" t="s">
        <v>25</v>
      </c>
      <c r="I17" s="17">
        <v>215000</v>
      </c>
      <c r="J17" s="21">
        <v>32250</v>
      </c>
      <c r="K17" s="25">
        <v>23650</v>
      </c>
      <c r="L17" s="28">
        <f t="shared" si="0"/>
        <v>159100</v>
      </c>
      <c r="M17" s="3">
        <v>21</v>
      </c>
      <c r="N17" s="3">
        <v>14</v>
      </c>
      <c r="O17">
        <v>7</v>
      </c>
      <c r="P17" s="3">
        <v>58</v>
      </c>
      <c r="Q17" s="3" t="s">
        <v>50</v>
      </c>
      <c r="R17" s="3">
        <v>9</v>
      </c>
      <c r="S17" s="9" t="s">
        <v>27</v>
      </c>
      <c r="T17" s="43" t="str">
        <f t="shared" si="1"/>
        <v>Available</v>
      </c>
      <c r="U17" s="43" t="str">
        <f t="shared" si="2"/>
        <v>NeedsImprovement</v>
      </c>
      <c r="V17" s="48">
        <f t="shared" si="3"/>
        <v>2022</v>
      </c>
      <c r="W17" s="45" t="str">
        <f t="shared" si="4"/>
        <v>September</v>
      </c>
      <c r="X17" s="48">
        <f t="shared" ca="1" si="5"/>
        <v>3</v>
      </c>
      <c r="AA17" s="34" t="str">
        <f>VLOOKUP(Staff_Records!D17,Grade_Scale!$A:$G,2,FALSE)</f>
        <v>Associate</v>
      </c>
      <c r="AB17">
        <f>VLOOKUP(D17,Grade_Scale!$A:$G,5,FALSE)</f>
        <v>0.08</v>
      </c>
      <c r="AC17" s="18">
        <f t="shared" si="6"/>
        <v>17200</v>
      </c>
      <c r="AD17" t="str">
        <f t="shared" si="7"/>
        <v>Mismatch</v>
      </c>
    </row>
    <row r="18" spans="1:30" ht="15" customHeight="1" x14ac:dyDescent="0.25">
      <c r="A18" s="2" t="s">
        <v>77</v>
      </c>
      <c r="B18" s="8" t="s">
        <v>78</v>
      </c>
      <c r="C18" s="2" t="s">
        <v>57</v>
      </c>
      <c r="D18" s="2" t="s">
        <v>22</v>
      </c>
      <c r="E18" s="2" t="s">
        <v>79</v>
      </c>
      <c r="F18" s="12">
        <v>43569</v>
      </c>
      <c r="G18" s="2" t="s">
        <v>24</v>
      </c>
      <c r="H18" s="2" t="s">
        <v>33</v>
      </c>
      <c r="I18" s="16">
        <v>385000</v>
      </c>
      <c r="J18" s="20">
        <v>57750</v>
      </c>
      <c r="K18" s="24">
        <v>42350</v>
      </c>
      <c r="L18" s="28">
        <f t="shared" si="0"/>
        <v>284900</v>
      </c>
      <c r="M18" s="2">
        <v>21</v>
      </c>
      <c r="N18" s="2">
        <v>0</v>
      </c>
      <c r="O18">
        <v>21</v>
      </c>
      <c r="P18" s="2">
        <v>0</v>
      </c>
      <c r="Q18" s="2" t="s">
        <v>58</v>
      </c>
      <c r="R18" s="2">
        <v>5</v>
      </c>
      <c r="S18" s="8" t="s">
        <v>27</v>
      </c>
      <c r="T18" s="43" t="str">
        <f t="shared" si="1"/>
        <v>Available</v>
      </c>
      <c r="U18" s="43" t="str">
        <f t="shared" si="2"/>
        <v>NeedsImprovement</v>
      </c>
      <c r="V18" s="48">
        <f t="shared" si="3"/>
        <v>2019</v>
      </c>
      <c r="W18" s="45" t="str">
        <f t="shared" si="4"/>
        <v>April</v>
      </c>
      <c r="X18" s="48">
        <f t="shared" ca="1" si="5"/>
        <v>7</v>
      </c>
      <c r="AA18" s="34" t="str">
        <f>VLOOKUP(Staff_Records!D18,Grade_Scale!$A:$G,2,FALSE)</f>
        <v>Manager</v>
      </c>
      <c r="AB18">
        <f>VLOOKUP(D18,Grade_Scale!$A:$G,5,FALSE)</f>
        <v>0.11</v>
      </c>
      <c r="AC18" s="18">
        <f t="shared" si="6"/>
        <v>42350</v>
      </c>
      <c r="AD18" t="str">
        <f t="shared" si="7"/>
        <v>Correct</v>
      </c>
    </row>
    <row r="19" spans="1:30" ht="15" customHeight="1" x14ac:dyDescent="0.25">
      <c r="A19" s="3" t="s">
        <v>80</v>
      </c>
      <c r="B19" s="9" t="s">
        <v>81</v>
      </c>
      <c r="C19" s="3" t="s">
        <v>30</v>
      </c>
      <c r="D19" s="3" t="s">
        <v>49</v>
      </c>
      <c r="E19" s="3" t="s">
        <v>32</v>
      </c>
      <c r="F19" s="13">
        <v>45005</v>
      </c>
      <c r="G19" s="3" t="s">
        <v>43</v>
      </c>
      <c r="H19" s="3" t="s">
        <v>25</v>
      </c>
      <c r="I19" s="17">
        <v>210000</v>
      </c>
      <c r="J19" s="21">
        <v>31500</v>
      </c>
      <c r="K19" s="25">
        <v>23100</v>
      </c>
      <c r="L19" s="28">
        <f t="shared" si="0"/>
        <v>155400</v>
      </c>
      <c r="M19" s="3">
        <v>14</v>
      </c>
      <c r="N19" s="3">
        <v>0</v>
      </c>
      <c r="O19">
        <v>14</v>
      </c>
      <c r="P19" s="3">
        <v>70</v>
      </c>
      <c r="Q19" s="3" t="s">
        <v>34</v>
      </c>
      <c r="R19" s="3">
        <v>12</v>
      </c>
      <c r="S19" s="9" t="s">
        <v>27</v>
      </c>
      <c r="T19" s="43" t="str">
        <f t="shared" si="1"/>
        <v>Available</v>
      </c>
      <c r="U19" s="43" t="str">
        <f t="shared" si="2"/>
        <v>Good</v>
      </c>
      <c r="V19" s="48">
        <f t="shared" si="3"/>
        <v>2023</v>
      </c>
      <c r="W19" s="45" t="str">
        <f t="shared" si="4"/>
        <v>March</v>
      </c>
      <c r="X19" s="48">
        <f t="shared" ca="1" si="5"/>
        <v>3</v>
      </c>
      <c r="AA19" s="34" t="str">
        <f>VLOOKUP(Staff_Records!D19,Grade_Scale!$A:$G,2,FALSE)</f>
        <v>Associate</v>
      </c>
      <c r="AB19">
        <f>VLOOKUP(D19,Grade_Scale!$A:$G,5,FALSE)</f>
        <v>0.08</v>
      </c>
      <c r="AC19" s="18">
        <f t="shared" si="6"/>
        <v>16800</v>
      </c>
      <c r="AD19" t="str">
        <f t="shared" si="7"/>
        <v>Mismatch</v>
      </c>
    </row>
    <row r="20" spans="1:30" ht="15" customHeight="1" x14ac:dyDescent="0.25">
      <c r="A20" s="2" t="s">
        <v>82</v>
      </c>
      <c r="B20" s="8" t="s">
        <v>83</v>
      </c>
      <c r="C20" s="2" t="s">
        <v>21</v>
      </c>
      <c r="D20" s="2" t="s">
        <v>31</v>
      </c>
      <c r="E20" s="2" t="s">
        <v>23</v>
      </c>
      <c r="F20" s="12">
        <v>44242</v>
      </c>
      <c r="G20" s="2" t="s">
        <v>24</v>
      </c>
      <c r="H20" s="2" t="s">
        <v>33</v>
      </c>
      <c r="I20" s="16">
        <v>320000</v>
      </c>
      <c r="J20" s="20">
        <v>48000</v>
      </c>
      <c r="K20" s="24">
        <v>35200</v>
      </c>
      <c r="L20" s="28">
        <f t="shared" si="0"/>
        <v>236800</v>
      </c>
      <c r="M20" s="2">
        <v>21</v>
      </c>
      <c r="N20" s="2">
        <v>7</v>
      </c>
      <c r="O20">
        <v>14</v>
      </c>
      <c r="P20" s="2">
        <v>76</v>
      </c>
      <c r="Q20" s="2" t="s">
        <v>34</v>
      </c>
      <c r="R20" s="2">
        <v>17</v>
      </c>
      <c r="S20" s="8" t="s">
        <v>27</v>
      </c>
      <c r="T20" s="43" t="str">
        <f t="shared" si="1"/>
        <v>Available</v>
      </c>
      <c r="U20" s="43" t="str">
        <f t="shared" si="2"/>
        <v>Good</v>
      </c>
      <c r="V20" s="48">
        <f t="shared" si="3"/>
        <v>2021</v>
      </c>
      <c r="W20" s="45" t="str">
        <f t="shared" si="4"/>
        <v>February</v>
      </c>
      <c r="X20" s="48">
        <f t="shared" ca="1" si="5"/>
        <v>5</v>
      </c>
      <c r="AA20" s="34" t="str">
        <f>VLOOKUP(Staff_Records!D20,Grade_Scale!$A:$G,2,FALSE)</f>
        <v>Senior Associate</v>
      </c>
      <c r="AB20">
        <f>VLOOKUP(D20,Grade_Scale!$A:$G,5,FALSE)</f>
        <v>0.1</v>
      </c>
      <c r="AC20" s="18">
        <f t="shared" si="6"/>
        <v>32000</v>
      </c>
      <c r="AD20" t="str">
        <f t="shared" si="7"/>
        <v>Mismatch</v>
      </c>
    </row>
    <row r="21" spans="1:30" ht="15" customHeight="1" x14ac:dyDescent="0.25">
      <c r="A21" s="3" t="s">
        <v>84</v>
      </c>
      <c r="B21" s="9" t="s">
        <v>85</v>
      </c>
      <c r="C21" s="3" t="s">
        <v>37</v>
      </c>
      <c r="D21" s="3" t="s">
        <v>61</v>
      </c>
      <c r="E21" s="3" t="s">
        <v>32</v>
      </c>
      <c r="F21" s="13">
        <v>41586</v>
      </c>
      <c r="G21" s="3" t="s">
        <v>24</v>
      </c>
      <c r="H21" s="3" t="s">
        <v>25</v>
      </c>
      <c r="I21" s="17">
        <v>920000</v>
      </c>
      <c r="J21" s="21">
        <v>138000</v>
      </c>
      <c r="K21" s="25">
        <v>101200</v>
      </c>
      <c r="L21" s="28">
        <f t="shared" si="0"/>
        <v>680800</v>
      </c>
      <c r="M21" s="3">
        <v>21</v>
      </c>
      <c r="N21" s="3">
        <v>21</v>
      </c>
      <c r="O21">
        <v>0</v>
      </c>
      <c r="P21" s="3">
        <v>94</v>
      </c>
      <c r="Q21" s="3" t="s">
        <v>26</v>
      </c>
      <c r="R21" s="3">
        <v>50</v>
      </c>
      <c r="S21" s="9" t="s">
        <v>27</v>
      </c>
      <c r="T21" s="43" t="str">
        <f t="shared" si="1"/>
        <v>Exhausted</v>
      </c>
      <c r="U21" s="43" t="str">
        <f t="shared" si="2"/>
        <v>Excellent</v>
      </c>
      <c r="V21" s="48">
        <f t="shared" si="3"/>
        <v>2013</v>
      </c>
      <c r="W21" s="45" t="str">
        <f t="shared" si="4"/>
        <v>November</v>
      </c>
      <c r="X21" s="48">
        <f t="shared" ca="1" si="5"/>
        <v>12</v>
      </c>
      <c r="AA21" s="34" t="str">
        <f>VLOOKUP(Staff_Records!D21,Grade_Scale!$A:$G,2,FALSE)</f>
        <v>Director</v>
      </c>
      <c r="AB21">
        <f>VLOOKUP(D21,Grade_Scale!$A:$G,5,FALSE)</f>
        <v>0.11</v>
      </c>
      <c r="AC21" s="18">
        <f t="shared" si="6"/>
        <v>101200</v>
      </c>
      <c r="AD21" t="str">
        <f t="shared" si="7"/>
        <v>Correct</v>
      </c>
    </row>
    <row r="22" spans="1:30" ht="15" customHeight="1" x14ac:dyDescent="0.25">
      <c r="A22" s="2" t="s">
        <v>86</v>
      </c>
      <c r="B22" s="8" t="s">
        <v>87</v>
      </c>
      <c r="C22" s="2" t="s">
        <v>41</v>
      </c>
      <c r="D22" s="2" t="s">
        <v>22</v>
      </c>
      <c r="E22" s="2" t="s">
        <v>72</v>
      </c>
      <c r="F22" s="12">
        <v>43334</v>
      </c>
      <c r="G22" s="2" t="s">
        <v>24</v>
      </c>
      <c r="H22" s="2" t="s">
        <v>33</v>
      </c>
      <c r="I22" s="16">
        <v>415000</v>
      </c>
      <c r="J22" s="20">
        <v>62250</v>
      </c>
      <c r="K22" s="24">
        <v>45650</v>
      </c>
      <c r="L22" s="28">
        <f t="shared" si="0"/>
        <v>307100</v>
      </c>
      <c r="M22" s="2">
        <v>21</v>
      </c>
      <c r="N22" s="2">
        <v>14</v>
      </c>
      <c r="O22">
        <v>7</v>
      </c>
      <c r="P22" s="2">
        <v>83</v>
      </c>
      <c r="Q22" s="2" t="s">
        <v>34</v>
      </c>
      <c r="R22" s="2">
        <v>25</v>
      </c>
      <c r="S22" s="8" t="s">
        <v>27</v>
      </c>
      <c r="T22" s="43" t="str">
        <f t="shared" si="1"/>
        <v>Available</v>
      </c>
      <c r="U22" s="43" t="str">
        <f t="shared" si="2"/>
        <v>Good</v>
      </c>
      <c r="V22" s="48">
        <f t="shared" si="3"/>
        <v>2018</v>
      </c>
      <c r="W22" s="45" t="str">
        <f t="shared" si="4"/>
        <v>August</v>
      </c>
      <c r="X22" s="48">
        <f t="shared" ca="1" si="5"/>
        <v>7</v>
      </c>
      <c r="AA22" s="34" t="str">
        <f>VLOOKUP(Staff_Records!D22,Grade_Scale!$A:$G,2,FALSE)</f>
        <v>Manager</v>
      </c>
      <c r="AB22">
        <f>VLOOKUP(D22,Grade_Scale!$A:$G,5,FALSE)</f>
        <v>0.11</v>
      </c>
      <c r="AC22" s="18">
        <f t="shared" si="6"/>
        <v>45650</v>
      </c>
      <c r="AD22" t="str">
        <f t="shared" si="7"/>
        <v>Correct</v>
      </c>
    </row>
    <row r="23" spans="1:30" ht="15" customHeight="1" x14ac:dyDescent="0.25">
      <c r="A23" s="3" t="s">
        <v>88</v>
      </c>
      <c r="B23" s="9" t="s">
        <v>89</v>
      </c>
      <c r="C23" s="3" t="s">
        <v>57</v>
      </c>
      <c r="D23" s="3" t="s">
        <v>38</v>
      </c>
      <c r="E23" s="3" t="s">
        <v>23</v>
      </c>
      <c r="F23" s="13">
        <v>42185</v>
      </c>
      <c r="G23" s="3" t="s">
        <v>24</v>
      </c>
      <c r="H23" s="3" t="s">
        <v>25</v>
      </c>
      <c r="I23" s="17">
        <v>560000</v>
      </c>
      <c r="J23" s="21">
        <v>84000</v>
      </c>
      <c r="K23" s="25">
        <v>61600</v>
      </c>
      <c r="L23" s="28">
        <f t="shared" si="0"/>
        <v>414400</v>
      </c>
      <c r="M23" s="3">
        <v>21</v>
      </c>
      <c r="N23" s="3">
        <v>21</v>
      </c>
      <c r="O23">
        <v>0</v>
      </c>
      <c r="P23" s="3">
        <v>90</v>
      </c>
      <c r="Q23" s="3" t="s">
        <v>26</v>
      </c>
      <c r="R23" s="3">
        <v>35</v>
      </c>
      <c r="S23" s="9" t="s">
        <v>27</v>
      </c>
      <c r="T23" s="43" t="str">
        <f t="shared" si="1"/>
        <v>Exhausted</v>
      </c>
      <c r="U23" s="43" t="str">
        <f t="shared" si="2"/>
        <v>Excellent</v>
      </c>
      <c r="V23" s="48">
        <f t="shared" si="3"/>
        <v>2015</v>
      </c>
      <c r="W23" s="45" t="str">
        <f t="shared" si="4"/>
        <v>June</v>
      </c>
      <c r="X23" s="48">
        <f t="shared" ca="1" si="5"/>
        <v>10</v>
      </c>
      <c r="AA23" s="34" t="str">
        <f>VLOOKUP(Staff_Records!D23,Grade_Scale!$A:$G,2,FALSE)</f>
        <v>Senior Manager</v>
      </c>
      <c r="AB23">
        <f>VLOOKUP(D23,Grade_Scale!$A:$G,5,FALSE)</f>
        <v>0.11</v>
      </c>
      <c r="AC23" s="18">
        <f t="shared" si="6"/>
        <v>61600</v>
      </c>
      <c r="AD23" t="str">
        <f t="shared" si="7"/>
        <v>Correct</v>
      </c>
    </row>
    <row r="24" spans="1:30" ht="15" customHeight="1" x14ac:dyDescent="0.25">
      <c r="A24" s="2" t="s">
        <v>90</v>
      </c>
      <c r="B24" s="8" t="s">
        <v>91</v>
      </c>
      <c r="C24" s="2" t="s">
        <v>30</v>
      </c>
      <c r="D24" s="2" t="s">
        <v>22</v>
      </c>
      <c r="E24" s="2" t="s">
        <v>23</v>
      </c>
      <c r="F24" s="12">
        <v>43122</v>
      </c>
      <c r="G24" s="2" t="s">
        <v>24</v>
      </c>
      <c r="H24" s="2" t="s">
        <v>33</v>
      </c>
      <c r="I24" s="16">
        <v>400000</v>
      </c>
      <c r="J24" s="20">
        <v>60000</v>
      </c>
      <c r="K24" s="24">
        <v>44000</v>
      </c>
      <c r="L24" s="28">
        <f t="shared" si="0"/>
        <v>296000</v>
      </c>
      <c r="M24" s="2">
        <v>21</v>
      </c>
      <c r="N24" s="2">
        <v>7</v>
      </c>
      <c r="O24">
        <v>14</v>
      </c>
      <c r="P24" s="2">
        <v>78</v>
      </c>
      <c r="Q24" s="2" t="s">
        <v>34</v>
      </c>
      <c r="R24" s="2">
        <v>21</v>
      </c>
      <c r="S24" s="8" t="s">
        <v>27</v>
      </c>
      <c r="T24" s="43" t="str">
        <f t="shared" si="1"/>
        <v>Available</v>
      </c>
      <c r="U24" s="43" t="str">
        <f t="shared" si="2"/>
        <v>Good</v>
      </c>
      <c r="V24" s="48">
        <f t="shared" si="3"/>
        <v>2018</v>
      </c>
      <c r="W24" s="45" t="str">
        <f t="shared" si="4"/>
        <v>January</v>
      </c>
      <c r="X24" s="48">
        <f t="shared" ca="1" si="5"/>
        <v>8</v>
      </c>
      <c r="AA24" s="34" t="str">
        <f>VLOOKUP(Staff_Records!D24,Grade_Scale!$A:$G,2,FALSE)</f>
        <v>Manager</v>
      </c>
      <c r="AB24">
        <f>VLOOKUP(D24,Grade_Scale!$A:$G,5,FALSE)</f>
        <v>0.11</v>
      </c>
      <c r="AC24" s="18">
        <f t="shared" si="6"/>
        <v>44000</v>
      </c>
      <c r="AD24" t="str">
        <f t="shared" si="7"/>
        <v>Correct</v>
      </c>
    </row>
    <row r="25" spans="1:30" ht="15" customHeight="1" x14ac:dyDescent="0.25">
      <c r="A25" s="3" t="s">
        <v>92</v>
      </c>
      <c r="B25" s="9" t="s">
        <v>93</v>
      </c>
      <c r="C25" s="3" t="s">
        <v>21</v>
      </c>
      <c r="D25" s="3" t="s">
        <v>31</v>
      </c>
      <c r="E25" s="3" t="s">
        <v>32</v>
      </c>
      <c r="F25" s="13">
        <v>44691</v>
      </c>
      <c r="G25" s="3" t="s">
        <v>24</v>
      </c>
      <c r="H25" s="3" t="s">
        <v>25</v>
      </c>
      <c r="I25" s="17">
        <v>305000</v>
      </c>
      <c r="J25" s="21">
        <v>45750</v>
      </c>
      <c r="K25" s="25">
        <v>33550</v>
      </c>
      <c r="L25" s="28">
        <f t="shared" si="0"/>
        <v>225700</v>
      </c>
      <c r="M25" s="3">
        <v>21</v>
      </c>
      <c r="N25" s="3">
        <v>0</v>
      </c>
      <c r="O25">
        <v>21</v>
      </c>
      <c r="P25" s="3">
        <v>72</v>
      </c>
      <c r="Q25" s="3" t="s">
        <v>34</v>
      </c>
      <c r="R25" s="3">
        <v>14</v>
      </c>
      <c r="S25" s="9" t="s">
        <v>27</v>
      </c>
      <c r="T25" s="43" t="str">
        <f t="shared" si="1"/>
        <v>Available</v>
      </c>
      <c r="U25" s="43" t="str">
        <f t="shared" si="2"/>
        <v>Good</v>
      </c>
      <c r="V25" s="48">
        <f t="shared" si="3"/>
        <v>2022</v>
      </c>
      <c r="W25" s="45" t="str">
        <f t="shared" si="4"/>
        <v>May</v>
      </c>
      <c r="X25" s="48">
        <f t="shared" ca="1" si="5"/>
        <v>3</v>
      </c>
      <c r="AA25" s="34" t="str">
        <f>VLOOKUP(Staff_Records!D25,Grade_Scale!$A:$G,2,FALSE)</f>
        <v>Senior Associate</v>
      </c>
      <c r="AB25">
        <f>VLOOKUP(D25,Grade_Scale!$A:$G,5,FALSE)</f>
        <v>0.1</v>
      </c>
      <c r="AC25" s="18">
        <f t="shared" si="6"/>
        <v>30500</v>
      </c>
      <c r="AD25" t="str">
        <f t="shared" si="7"/>
        <v>Mismatch</v>
      </c>
    </row>
    <row r="26" spans="1:30" ht="15" customHeight="1" x14ac:dyDescent="0.25">
      <c r="A26" s="2" t="s">
        <v>94</v>
      </c>
      <c r="B26" s="8" t="s">
        <v>95</v>
      </c>
      <c r="C26" s="2" t="s">
        <v>37</v>
      </c>
      <c r="D26" s="2" t="s">
        <v>31</v>
      </c>
      <c r="E26" s="2" t="s">
        <v>67</v>
      </c>
      <c r="F26" s="12">
        <v>44348</v>
      </c>
      <c r="G26" s="2" t="s">
        <v>24</v>
      </c>
      <c r="H26" s="2" t="s">
        <v>33</v>
      </c>
      <c r="I26" s="16">
        <v>295000</v>
      </c>
      <c r="J26" s="20">
        <v>44250</v>
      </c>
      <c r="K26" s="24">
        <v>32450</v>
      </c>
      <c r="L26" s="28">
        <f t="shared" si="0"/>
        <v>218300</v>
      </c>
      <c r="M26" s="2">
        <v>21</v>
      </c>
      <c r="N26" s="2">
        <v>14</v>
      </c>
      <c r="O26">
        <v>7</v>
      </c>
      <c r="P26" s="2">
        <v>65</v>
      </c>
      <c r="Q26" s="2" t="s">
        <v>50</v>
      </c>
      <c r="R26" s="2">
        <v>11</v>
      </c>
      <c r="S26" s="8" t="s">
        <v>27</v>
      </c>
      <c r="T26" s="43" t="str">
        <f t="shared" si="1"/>
        <v>Available</v>
      </c>
      <c r="U26" s="43" t="str">
        <f t="shared" si="2"/>
        <v>NeedsImprovement</v>
      </c>
      <c r="V26" s="48">
        <f t="shared" si="3"/>
        <v>2021</v>
      </c>
      <c r="W26" s="45" t="str">
        <f t="shared" si="4"/>
        <v>June</v>
      </c>
      <c r="X26" s="48">
        <f t="shared" ca="1" si="5"/>
        <v>4</v>
      </c>
      <c r="AA26" s="34" t="str">
        <f>VLOOKUP(Staff_Records!D26,Grade_Scale!$A:$G,2,FALSE)</f>
        <v>Senior Associate</v>
      </c>
      <c r="AB26">
        <f>VLOOKUP(D26,Grade_Scale!$A:$G,5,FALSE)</f>
        <v>0.1</v>
      </c>
      <c r="AC26" s="18">
        <f t="shared" si="6"/>
        <v>29500</v>
      </c>
      <c r="AD26" t="str">
        <f t="shared" si="7"/>
        <v>Mismatch</v>
      </c>
    </row>
    <row r="27" spans="1:30" ht="15" customHeight="1" x14ac:dyDescent="0.25">
      <c r="A27" s="3" t="s">
        <v>96</v>
      </c>
      <c r="B27" s="9" t="s">
        <v>97</v>
      </c>
      <c r="C27" s="3" t="s">
        <v>41</v>
      </c>
      <c r="D27" s="3" t="s">
        <v>49</v>
      </c>
      <c r="E27" s="3" t="s">
        <v>32</v>
      </c>
      <c r="F27" s="13">
        <v>45124</v>
      </c>
      <c r="G27" s="3" t="s">
        <v>43</v>
      </c>
      <c r="H27" s="3" t="s">
        <v>25</v>
      </c>
      <c r="I27" s="17">
        <v>205000</v>
      </c>
      <c r="J27" s="21">
        <v>30750</v>
      </c>
      <c r="K27" s="25">
        <v>22550</v>
      </c>
      <c r="L27" s="28">
        <f t="shared" si="0"/>
        <v>151700</v>
      </c>
      <c r="M27" s="3">
        <v>14</v>
      </c>
      <c r="N27" s="3">
        <v>0</v>
      </c>
      <c r="O27">
        <v>14</v>
      </c>
      <c r="P27" s="3">
        <v>60</v>
      </c>
      <c r="Q27" s="3" t="s">
        <v>50</v>
      </c>
      <c r="R27" s="3">
        <v>8</v>
      </c>
      <c r="S27" s="9" t="s">
        <v>27</v>
      </c>
      <c r="T27" s="43" t="str">
        <f t="shared" si="1"/>
        <v>Available</v>
      </c>
      <c r="U27" s="43" t="str">
        <f t="shared" si="2"/>
        <v>NeedsImprovement</v>
      </c>
      <c r="V27" s="48">
        <f t="shared" si="3"/>
        <v>2023</v>
      </c>
      <c r="W27" s="45" t="str">
        <f t="shared" si="4"/>
        <v>July</v>
      </c>
      <c r="X27" s="48">
        <f t="shared" ca="1" si="5"/>
        <v>2</v>
      </c>
      <c r="AA27" s="34" t="str">
        <f>VLOOKUP(Staff_Records!D27,Grade_Scale!$A:$G,2,FALSE)</f>
        <v>Associate</v>
      </c>
      <c r="AB27">
        <f>VLOOKUP(D27,Grade_Scale!$A:$G,5,FALSE)</f>
        <v>0.08</v>
      </c>
      <c r="AC27" s="18">
        <f t="shared" si="6"/>
        <v>16400</v>
      </c>
      <c r="AD27" t="str">
        <f t="shared" si="7"/>
        <v>Mismatch</v>
      </c>
    </row>
    <row r="28" spans="1:30" ht="15" customHeight="1" x14ac:dyDescent="0.25">
      <c r="A28" s="2" t="s">
        <v>98</v>
      </c>
      <c r="B28" s="8" t="s">
        <v>99</v>
      </c>
      <c r="C28" s="2" t="s">
        <v>57</v>
      </c>
      <c r="D28" s="2" t="s">
        <v>31</v>
      </c>
      <c r="E28" s="2" t="s">
        <v>23</v>
      </c>
      <c r="F28" s="12">
        <v>44102</v>
      </c>
      <c r="G28" s="2" t="s">
        <v>24</v>
      </c>
      <c r="H28" s="2" t="s">
        <v>25</v>
      </c>
      <c r="I28" s="16">
        <v>310000</v>
      </c>
      <c r="J28" s="20">
        <v>46500</v>
      </c>
      <c r="K28" s="24">
        <v>34100</v>
      </c>
      <c r="L28" s="28">
        <f t="shared" si="0"/>
        <v>229400</v>
      </c>
      <c r="M28" s="2">
        <v>21</v>
      </c>
      <c r="N28" s="2">
        <v>21</v>
      </c>
      <c r="O28">
        <v>0</v>
      </c>
      <c r="P28" s="2">
        <v>75</v>
      </c>
      <c r="Q28" s="2" t="s">
        <v>34</v>
      </c>
      <c r="R28" s="2">
        <v>18</v>
      </c>
      <c r="S28" s="8" t="s">
        <v>27</v>
      </c>
      <c r="T28" s="43" t="str">
        <f t="shared" si="1"/>
        <v>Exhausted</v>
      </c>
      <c r="U28" s="43" t="str">
        <f t="shared" si="2"/>
        <v>Good</v>
      </c>
      <c r="V28" s="48">
        <f t="shared" si="3"/>
        <v>2020</v>
      </c>
      <c r="W28" s="45" t="str">
        <f t="shared" si="4"/>
        <v>September</v>
      </c>
      <c r="X28" s="48">
        <f t="shared" ca="1" si="5"/>
        <v>5</v>
      </c>
      <c r="AA28" s="34" t="str">
        <f>VLOOKUP(Staff_Records!D28,Grade_Scale!$A:$G,2,FALSE)</f>
        <v>Senior Associate</v>
      </c>
      <c r="AB28">
        <f>VLOOKUP(D28,Grade_Scale!$A:$G,5,FALSE)</f>
        <v>0.1</v>
      </c>
      <c r="AC28" s="18">
        <f t="shared" si="6"/>
        <v>31000</v>
      </c>
      <c r="AD28" t="str">
        <f t="shared" si="7"/>
        <v>Mismatch</v>
      </c>
    </row>
    <row r="29" spans="1:30" ht="15" customHeight="1" x14ac:dyDescent="0.25">
      <c r="A29" s="3" t="s">
        <v>100</v>
      </c>
      <c r="B29" s="9" t="s">
        <v>101</v>
      </c>
      <c r="C29" s="3" t="s">
        <v>21</v>
      </c>
      <c r="D29" s="3" t="s">
        <v>38</v>
      </c>
      <c r="E29" s="3" t="s">
        <v>23</v>
      </c>
      <c r="F29" s="13">
        <v>42688</v>
      </c>
      <c r="G29" s="3" t="s">
        <v>24</v>
      </c>
      <c r="H29" s="3" t="s">
        <v>33</v>
      </c>
      <c r="I29" s="17">
        <v>610000</v>
      </c>
      <c r="J29" s="21">
        <v>91500</v>
      </c>
      <c r="K29" s="25">
        <v>67100</v>
      </c>
      <c r="L29" s="28">
        <f t="shared" si="0"/>
        <v>451400</v>
      </c>
      <c r="M29" s="3">
        <v>21</v>
      </c>
      <c r="N29" s="3">
        <v>14</v>
      </c>
      <c r="O29">
        <v>7</v>
      </c>
      <c r="P29" s="3">
        <v>88</v>
      </c>
      <c r="Q29" s="31" t="s">
        <v>26</v>
      </c>
      <c r="R29" s="3">
        <v>33</v>
      </c>
      <c r="S29" s="9" t="s">
        <v>27</v>
      </c>
      <c r="T29" s="43" t="str">
        <f t="shared" si="1"/>
        <v>Available</v>
      </c>
      <c r="U29" s="43" t="str">
        <f t="shared" si="2"/>
        <v>Excellent</v>
      </c>
      <c r="V29" s="48">
        <f t="shared" si="3"/>
        <v>2016</v>
      </c>
      <c r="W29" s="45" t="str">
        <f t="shared" si="4"/>
        <v>November</v>
      </c>
      <c r="X29" s="48">
        <f t="shared" ca="1" si="5"/>
        <v>9</v>
      </c>
      <c r="AA29" s="34" t="str">
        <f>VLOOKUP(Staff_Records!D29,Grade_Scale!$A:$G,2,FALSE)</f>
        <v>Senior Manager</v>
      </c>
      <c r="AB29">
        <f>VLOOKUP(D29,Grade_Scale!$A:$G,5,FALSE)</f>
        <v>0.11</v>
      </c>
      <c r="AC29" s="18">
        <f t="shared" si="6"/>
        <v>67100</v>
      </c>
      <c r="AD29" t="str">
        <f t="shared" si="7"/>
        <v>Correct</v>
      </c>
    </row>
    <row r="30" spans="1:30" ht="15" customHeight="1" x14ac:dyDescent="0.25">
      <c r="A30" s="2" t="s">
        <v>102</v>
      </c>
      <c r="B30" s="8" t="s">
        <v>103</v>
      </c>
      <c r="C30" s="2" t="s">
        <v>30</v>
      </c>
      <c r="D30" s="2" t="s">
        <v>31</v>
      </c>
      <c r="E30" s="2" t="s">
        <v>42</v>
      </c>
      <c r="F30" s="12">
        <v>43927</v>
      </c>
      <c r="G30" s="2" t="s">
        <v>24</v>
      </c>
      <c r="H30" s="2" t="s">
        <v>25</v>
      </c>
      <c r="I30" s="16">
        <v>320000</v>
      </c>
      <c r="J30" s="20">
        <v>48000</v>
      </c>
      <c r="K30" s="24">
        <v>35200</v>
      </c>
      <c r="L30" s="28">
        <f t="shared" si="0"/>
        <v>236800</v>
      </c>
      <c r="M30" s="2">
        <v>21</v>
      </c>
      <c r="N30" s="2">
        <v>7</v>
      </c>
      <c r="O30">
        <v>14</v>
      </c>
      <c r="P30" s="2">
        <v>80</v>
      </c>
      <c r="Q30" s="2" t="s">
        <v>34</v>
      </c>
      <c r="R30" s="2">
        <v>20</v>
      </c>
      <c r="S30" s="8" t="s">
        <v>27</v>
      </c>
      <c r="T30" s="43" t="str">
        <f t="shared" si="1"/>
        <v>Available</v>
      </c>
      <c r="U30" s="43" t="str">
        <f t="shared" si="2"/>
        <v>Good</v>
      </c>
      <c r="V30" s="48">
        <f t="shared" si="3"/>
        <v>2020</v>
      </c>
      <c r="W30" s="45" t="str">
        <f t="shared" si="4"/>
        <v>April</v>
      </c>
      <c r="X30" s="48">
        <f t="shared" ca="1" si="5"/>
        <v>6</v>
      </c>
      <c r="AA30" s="34" t="str">
        <f>VLOOKUP(Staff_Records!D30,Grade_Scale!$A:$G,2,FALSE)</f>
        <v>Senior Associate</v>
      </c>
      <c r="AB30">
        <f>VLOOKUP(D30,Grade_Scale!$A:$G,5,FALSE)</f>
        <v>0.1</v>
      </c>
      <c r="AC30" s="18">
        <f t="shared" si="6"/>
        <v>32000</v>
      </c>
      <c r="AD30" t="str">
        <f t="shared" si="7"/>
        <v>Mismatch</v>
      </c>
    </row>
    <row r="31" spans="1:30" ht="15" customHeight="1" x14ac:dyDescent="0.25">
      <c r="A31" s="3" t="s">
        <v>104</v>
      </c>
      <c r="B31" s="9" t="s">
        <v>105</v>
      </c>
      <c r="C31" s="3" t="s">
        <v>37</v>
      </c>
      <c r="D31" s="3" t="s">
        <v>22</v>
      </c>
      <c r="E31" s="3" t="s">
        <v>23</v>
      </c>
      <c r="F31" s="13">
        <v>43178</v>
      </c>
      <c r="G31" s="3" t="s">
        <v>24</v>
      </c>
      <c r="H31" s="3" t="s">
        <v>33</v>
      </c>
      <c r="I31" s="17">
        <v>395000</v>
      </c>
      <c r="J31" s="21">
        <v>59250</v>
      </c>
      <c r="K31" s="25">
        <v>43450</v>
      </c>
      <c r="L31" s="28">
        <f t="shared" si="0"/>
        <v>292300</v>
      </c>
      <c r="M31" s="3">
        <v>21</v>
      </c>
      <c r="N31" s="3">
        <v>21</v>
      </c>
      <c r="O31">
        <v>0</v>
      </c>
      <c r="P31" s="3">
        <v>82</v>
      </c>
      <c r="Q31" s="3" t="s">
        <v>34</v>
      </c>
      <c r="R31" s="3">
        <v>24</v>
      </c>
      <c r="S31" s="9" t="s">
        <v>27</v>
      </c>
      <c r="T31" s="43" t="str">
        <f t="shared" si="1"/>
        <v>Exhausted</v>
      </c>
      <c r="U31" s="43" t="str">
        <f t="shared" si="2"/>
        <v>Good</v>
      </c>
      <c r="V31" s="48">
        <f t="shared" si="3"/>
        <v>2018</v>
      </c>
      <c r="W31" s="45" t="str">
        <f t="shared" si="4"/>
        <v>March</v>
      </c>
      <c r="X31" s="48">
        <f t="shared" ca="1" si="5"/>
        <v>8</v>
      </c>
      <c r="AA31" s="34" t="str">
        <f>VLOOKUP(Staff_Records!D31,Grade_Scale!$A:$G,2,FALSE)</f>
        <v>Manager</v>
      </c>
      <c r="AB31">
        <f>VLOOKUP(D31,Grade_Scale!$A:$G,5,FALSE)</f>
        <v>0.11</v>
      </c>
      <c r="AC31" s="18">
        <f t="shared" si="6"/>
        <v>43450</v>
      </c>
      <c r="AD31" t="str">
        <f t="shared" si="7"/>
        <v>Correct</v>
      </c>
    </row>
    <row r="32" spans="1:30" ht="15" customHeight="1" x14ac:dyDescent="0.25">
      <c r="A32" s="2" t="s">
        <v>106</v>
      </c>
      <c r="B32" s="8" t="s">
        <v>107</v>
      </c>
      <c r="C32" s="2" t="s">
        <v>41</v>
      </c>
      <c r="D32" s="2" t="s">
        <v>38</v>
      </c>
      <c r="E32" s="2" t="s">
        <v>42</v>
      </c>
      <c r="F32" s="12">
        <v>42493</v>
      </c>
      <c r="G32" s="2" t="s">
        <v>24</v>
      </c>
      <c r="H32" s="2" t="s">
        <v>25</v>
      </c>
      <c r="I32" s="16">
        <v>575000</v>
      </c>
      <c r="J32" s="20">
        <v>86250</v>
      </c>
      <c r="K32" s="24">
        <v>63250</v>
      </c>
      <c r="L32" s="28">
        <f t="shared" si="0"/>
        <v>425500</v>
      </c>
      <c r="M32" s="2">
        <v>21</v>
      </c>
      <c r="N32" s="2">
        <v>7</v>
      </c>
      <c r="O32">
        <v>14</v>
      </c>
      <c r="P32" s="2">
        <v>93</v>
      </c>
      <c r="Q32" s="2" t="s">
        <v>26</v>
      </c>
      <c r="R32" s="2">
        <v>37</v>
      </c>
      <c r="S32" s="8" t="s">
        <v>27</v>
      </c>
      <c r="T32" s="43" t="str">
        <f t="shared" si="1"/>
        <v>Available</v>
      </c>
      <c r="U32" s="43" t="str">
        <f t="shared" si="2"/>
        <v>Excellent</v>
      </c>
      <c r="V32" s="48">
        <f t="shared" si="3"/>
        <v>2016</v>
      </c>
      <c r="W32" s="45" t="str">
        <f t="shared" si="4"/>
        <v>May</v>
      </c>
      <c r="X32" s="48">
        <f t="shared" ca="1" si="5"/>
        <v>9</v>
      </c>
      <c r="AA32" s="34" t="str">
        <f>VLOOKUP(Staff_Records!D32,Grade_Scale!$A:$G,2,FALSE)</f>
        <v>Senior Manager</v>
      </c>
      <c r="AB32">
        <f>VLOOKUP(D32,Grade_Scale!$A:$G,5,FALSE)</f>
        <v>0.11</v>
      </c>
      <c r="AC32" s="18">
        <f t="shared" si="6"/>
        <v>63250</v>
      </c>
      <c r="AD32" t="str">
        <f t="shared" si="7"/>
        <v>Correct</v>
      </c>
    </row>
    <row r="33" spans="1:30" ht="15" customHeight="1" x14ac:dyDescent="0.25">
      <c r="A33" s="3" t="s">
        <v>108</v>
      </c>
      <c r="B33" s="9" t="s">
        <v>109</v>
      </c>
      <c r="C33" s="3" t="s">
        <v>57</v>
      </c>
      <c r="D33" s="3" t="s">
        <v>22</v>
      </c>
      <c r="E33" s="3" t="s">
        <v>64</v>
      </c>
      <c r="F33" s="13">
        <v>43688</v>
      </c>
      <c r="G33" s="3" t="s">
        <v>24</v>
      </c>
      <c r="H33" s="3" t="s">
        <v>33</v>
      </c>
      <c r="I33" s="17">
        <v>380000</v>
      </c>
      <c r="J33" s="21">
        <v>57000</v>
      </c>
      <c r="K33" s="25">
        <v>41800</v>
      </c>
      <c r="L33" s="28">
        <f t="shared" si="0"/>
        <v>281200</v>
      </c>
      <c r="M33" s="3">
        <v>21</v>
      </c>
      <c r="N33" s="3">
        <v>14</v>
      </c>
      <c r="O33">
        <v>7</v>
      </c>
      <c r="P33" s="3">
        <v>73</v>
      </c>
      <c r="Q33" s="3" t="s">
        <v>34</v>
      </c>
      <c r="R33" s="3">
        <v>16</v>
      </c>
      <c r="S33" s="9" t="s">
        <v>27</v>
      </c>
      <c r="T33" s="43" t="str">
        <f t="shared" si="1"/>
        <v>Available</v>
      </c>
      <c r="U33" s="43" t="str">
        <f t="shared" si="2"/>
        <v>Good</v>
      </c>
      <c r="V33" s="48">
        <f t="shared" si="3"/>
        <v>2019</v>
      </c>
      <c r="W33" s="45" t="str">
        <f t="shared" si="4"/>
        <v>August</v>
      </c>
      <c r="X33" s="48">
        <f t="shared" ca="1" si="5"/>
        <v>6</v>
      </c>
      <c r="AA33" s="34" t="str">
        <f>VLOOKUP(Staff_Records!D33,Grade_Scale!$A:$G,2,FALSE)</f>
        <v>Manager</v>
      </c>
      <c r="AB33">
        <f>VLOOKUP(D33,Grade_Scale!$A:$G,5,FALSE)</f>
        <v>0.11</v>
      </c>
      <c r="AC33" s="18">
        <f t="shared" si="6"/>
        <v>41800</v>
      </c>
      <c r="AD33" t="str">
        <f t="shared" si="7"/>
        <v>Correct</v>
      </c>
    </row>
    <row r="34" spans="1:30" ht="15" customHeight="1" x14ac:dyDescent="0.25">
      <c r="A34" s="2" t="s">
        <v>110</v>
      </c>
      <c r="B34" s="8" t="s">
        <v>111</v>
      </c>
      <c r="C34" s="2" t="s">
        <v>21</v>
      </c>
      <c r="D34" s="2" t="s">
        <v>49</v>
      </c>
      <c r="E34" s="2" t="s">
        <v>72</v>
      </c>
      <c r="F34" s="12">
        <v>44984</v>
      </c>
      <c r="G34" s="2" t="s">
        <v>24</v>
      </c>
      <c r="H34" s="2" t="s">
        <v>25</v>
      </c>
      <c r="I34" s="16">
        <v>215000</v>
      </c>
      <c r="J34" s="20">
        <v>32250</v>
      </c>
      <c r="K34" s="24">
        <v>23650</v>
      </c>
      <c r="L34" s="28">
        <f t="shared" si="0"/>
        <v>159100</v>
      </c>
      <c r="M34" s="2">
        <v>21</v>
      </c>
      <c r="N34" s="2">
        <v>5</v>
      </c>
      <c r="O34">
        <v>16</v>
      </c>
      <c r="P34" s="2">
        <v>55</v>
      </c>
      <c r="Q34" s="2" t="s">
        <v>50</v>
      </c>
      <c r="R34" s="2">
        <v>7</v>
      </c>
      <c r="S34" s="8" t="s">
        <v>27</v>
      </c>
      <c r="T34" s="43" t="str">
        <f t="shared" si="1"/>
        <v>Available</v>
      </c>
      <c r="U34" s="43" t="str">
        <f t="shared" si="2"/>
        <v>NeedsImprovement</v>
      </c>
      <c r="V34" s="48">
        <f t="shared" si="3"/>
        <v>2023</v>
      </c>
      <c r="W34" s="45" t="str">
        <f t="shared" si="4"/>
        <v>February</v>
      </c>
      <c r="X34" s="48">
        <f t="shared" ca="1" si="5"/>
        <v>3</v>
      </c>
      <c r="AA34" s="34" t="str">
        <f>VLOOKUP(Staff_Records!D34,Grade_Scale!$A:$G,2,FALSE)</f>
        <v>Associate</v>
      </c>
      <c r="AB34">
        <f>VLOOKUP(D34,Grade_Scale!$A:$G,5,FALSE)</f>
        <v>0.08</v>
      </c>
      <c r="AC34" s="18">
        <f t="shared" si="6"/>
        <v>17200</v>
      </c>
      <c r="AD34" t="str">
        <f t="shared" si="7"/>
        <v>Mismatch</v>
      </c>
    </row>
    <row r="35" spans="1:30" ht="15" customHeight="1" x14ac:dyDescent="0.25">
      <c r="A35" s="3" t="s">
        <v>112</v>
      </c>
      <c r="B35" s="9" t="s">
        <v>113</v>
      </c>
      <c r="C35" s="3" t="s">
        <v>37</v>
      </c>
      <c r="D35" s="3" t="s">
        <v>31</v>
      </c>
      <c r="E35" s="3" t="s">
        <v>23</v>
      </c>
      <c r="F35" s="13">
        <v>44473</v>
      </c>
      <c r="G35" s="3" t="s">
        <v>24</v>
      </c>
      <c r="H35" s="3" t="s">
        <v>33</v>
      </c>
      <c r="I35" s="17">
        <v>290000</v>
      </c>
      <c r="J35" s="21">
        <v>43500</v>
      </c>
      <c r="K35" s="25">
        <v>31900</v>
      </c>
      <c r="L35" s="28">
        <f t="shared" si="0"/>
        <v>214600</v>
      </c>
      <c r="M35" s="3">
        <v>21</v>
      </c>
      <c r="N35" s="3">
        <v>0</v>
      </c>
      <c r="O35">
        <v>21</v>
      </c>
      <c r="P35" s="3">
        <v>0</v>
      </c>
      <c r="Q35" s="3" t="s">
        <v>58</v>
      </c>
      <c r="R35" s="3">
        <v>3</v>
      </c>
      <c r="S35" s="9" t="s">
        <v>27</v>
      </c>
      <c r="T35" s="43" t="str">
        <f t="shared" si="1"/>
        <v>Available</v>
      </c>
      <c r="U35" s="43" t="str">
        <f t="shared" si="2"/>
        <v>NeedsImprovement</v>
      </c>
      <c r="V35" s="48">
        <f t="shared" si="3"/>
        <v>2021</v>
      </c>
      <c r="W35" s="45" t="str">
        <f t="shared" si="4"/>
        <v>October</v>
      </c>
      <c r="X35" s="48">
        <f t="shared" ca="1" si="5"/>
        <v>4</v>
      </c>
      <c r="AA35" s="34" t="str">
        <f>VLOOKUP(Staff_Records!D35,Grade_Scale!$A:$G,2,FALSE)</f>
        <v>Senior Associate</v>
      </c>
      <c r="AB35">
        <f>VLOOKUP(D35,Grade_Scale!$A:$G,5,FALSE)</f>
        <v>0.1</v>
      </c>
      <c r="AC35" s="18">
        <f t="shared" si="6"/>
        <v>29000</v>
      </c>
      <c r="AD35" t="str">
        <f t="shared" si="7"/>
        <v>Mismatch</v>
      </c>
    </row>
    <row r="36" spans="1:30" ht="15" customHeight="1" x14ac:dyDescent="0.25">
      <c r="A36" s="2" t="s">
        <v>114</v>
      </c>
      <c r="B36" s="8" t="s">
        <v>115</v>
      </c>
      <c r="C36" s="2" t="s">
        <v>30</v>
      </c>
      <c r="D36" s="2" t="s">
        <v>38</v>
      </c>
      <c r="E36" s="2" t="s">
        <v>32</v>
      </c>
      <c r="F36" s="12">
        <v>42339</v>
      </c>
      <c r="G36" s="2" t="s">
        <v>24</v>
      </c>
      <c r="H36" s="2" t="s">
        <v>25</v>
      </c>
      <c r="I36" s="16">
        <v>540000</v>
      </c>
      <c r="J36" s="20">
        <v>81000</v>
      </c>
      <c r="K36" s="24">
        <v>59400</v>
      </c>
      <c r="L36" s="28">
        <f t="shared" si="0"/>
        <v>399600</v>
      </c>
      <c r="M36" s="2">
        <v>21</v>
      </c>
      <c r="N36" s="2">
        <v>21</v>
      </c>
      <c r="O36">
        <v>0</v>
      </c>
      <c r="P36" s="2">
        <v>86</v>
      </c>
      <c r="Q36" s="2" t="s">
        <v>26</v>
      </c>
      <c r="R36" s="2">
        <v>30</v>
      </c>
      <c r="S36" s="8" t="s">
        <v>27</v>
      </c>
      <c r="T36" s="43" t="str">
        <f t="shared" si="1"/>
        <v>Exhausted</v>
      </c>
      <c r="U36" s="43" t="str">
        <f t="shared" si="2"/>
        <v>Excellent</v>
      </c>
      <c r="V36" s="48">
        <f t="shared" si="3"/>
        <v>2015</v>
      </c>
      <c r="W36" s="45" t="str">
        <f t="shared" si="4"/>
        <v>December</v>
      </c>
      <c r="X36" s="48">
        <f t="shared" ca="1" si="5"/>
        <v>10</v>
      </c>
      <c r="AA36" s="34" t="str">
        <f>VLOOKUP(Staff_Records!D36,Grade_Scale!$A:$G,2,FALSE)</f>
        <v>Senior Manager</v>
      </c>
      <c r="AB36">
        <f>VLOOKUP(D36,Grade_Scale!$A:$G,5,FALSE)</f>
        <v>0.11</v>
      </c>
      <c r="AC36" s="18">
        <f t="shared" si="6"/>
        <v>59400</v>
      </c>
      <c r="AD36" t="str">
        <f t="shared" si="7"/>
        <v>Correct</v>
      </c>
    </row>
    <row r="37" spans="1:30" ht="15" customHeight="1" x14ac:dyDescent="0.25">
      <c r="A37" s="3" t="s">
        <v>116</v>
      </c>
      <c r="B37" s="9" t="s">
        <v>117</v>
      </c>
      <c r="C37" s="3" t="s">
        <v>41</v>
      </c>
      <c r="D37" s="3" t="s">
        <v>31</v>
      </c>
      <c r="E37" s="3" t="s">
        <v>23</v>
      </c>
      <c r="F37" s="13">
        <v>44270</v>
      </c>
      <c r="G37" s="3" t="s">
        <v>43</v>
      </c>
      <c r="H37" s="3" t="s">
        <v>33</v>
      </c>
      <c r="I37" s="17">
        <v>270000</v>
      </c>
      <c r="J37" s="21">
        <v>40500</v>
      </c>
      <c r="K37" s="25">
        <v>29700</v>
      </c>
      <c r="L37" s="28">
        <f t="shared" si="0"/>
        <v>199800</v>
      </c>
      <c r="M37" s="3">
        <v>14</v>
      </c>
      <c r="N37" s="3">
        <v>7</v>
      </c>
      <c r="O37">
        <v>7</v>
      </c>
      <c r="P37" s="3">
        <v>71</v>
      </c>
      <c r="Q37" s="3" t="s">
        <v>34</v>
      </c>
      <c r="R37" s="3">
        <v>13</v>
      </c>
      <c r="S37" s="9" t="s">
        <v>118</v>
      </c>
      <c r="T37" s="43" t="str">
        <f t="shared" si="1"/>
        <v>Available</v>
      </c>
      <c r="U37" s="43" t="str">
        <f t="shared" si="2"/>
        <v>Good</v>
      </c>
      <c r="V37" s="48">
        <f t="shared" si="3"/>
        <v>2021</v>
      </c>
      <c r="W37" s="45" t="str">
        <f t="shared" si="4"/>
        <v>March</v>
      </c>
      <c r="X37" s="48">
        <f t="shared" ca="1" si="5"/>
        <v>5</v>
      </c>
      <c r="AA37" s="34" t="str">
        <f>VLOOKUP(Staff_Records!D37,Grade_Scale!$A:$G,2,FALSE)</f>
        <v>Senior Associate</v>
      </c>
      <c r="AB37">
        <f>VLOOKUP(D37,Grade_Scale!$A:$G,5,FALSE)</f>
        <v>0.1</v>
      </c>
      <c r="AC37" s="18">
        <f t="shared" si="6"/>
        <v>27000</v>
      </c>
      <c r="AD37" t="str">
        <f t="shared" si="7"/>
        <v>Mismatch</v>
      </c>
    </row>
    <row r="38" spans="1:30" ht="15" customHeight="1" x14ac:dyDescent="0.25">
      <c r="A38" s="2" t="s">
        <v>119</v>
      </c>
      <c r="B38" s="8" t="s">
        <v>120</v>
      </c>
      <c r="C38" s="2" t="s">
        <v>57</v>
      </c>
      <c r="D38" s="2" t="s">
        <v>31</v>
      </c>
      <c r="E38" s="2" t="s">
        <v>23</v>
      </c>
      <c r="F38" s="12">
        <v>44157</v>
      </c>
      <c r="G38" s="2" t="s">
        <v>24</v>
      </c>
      <c r="H38" s="2" t="s">
        <v>33</v>
      </c>
      <c r="I38" s="16">
        <v>300000</v>
      </c>
      <c r="J38" s="20">
        <v>45000</v>
      </c>
      <c r="K38" s="24">
        <v>33000</v>
      </c>
      <c r="L38" s="28">
        <f t="shared" si="0"/>
        <v>222000</v>
      </c>
      <c r="M38" s="2">
        <v>21</v>
      </c>
      <c r="N38" s="2">
        <v>14</v>
      </c>
      <c r="O38">
        <v>7</v>
      </c>
      <c r="P38" s="2">
        <v>78</v>
      </c>
      <c r="Q38" s="2" t="s">
        <v>34</v>
      </c>
      <c r="R38" s="2">
        <v>18</v>
      </c>
      <c r="S38" s="8" t="s">
        <v>27</v>
      </c>
      <c r="T38" s="43" t="str">
        <f t="shared" si="1"/>
        <v>Available</v>
      </c>
      <c r="U38" s="43" t="str">
        <f t="shared" si="2"/>
        <v>Good</v>
      </c>
      <c r="V38" s="48">
        <f t="shared" si="3"/>
        <v>2020</v>
      </c>
      <c r="W38" s="45" t="str">
        <f t="shared" si="4"/>
        <v>November</v>
      </c>
      <c r="X38" s="48">
        <f t="shared" ca="1" si="5"/>
        <v>5</v>
      </c>
      <c r="AA38" s="34" t="str">
        <f>VLOOKUP(Staff_Records!D38,Grade_Scale!$A:$G,2,FALSE)</f>
        <v>Senior Associate</v>
      </c>
      <c r="AB38">
        <f>VLOOKUP(D38,Grade_Scale!$A:$G,5,FALSE)</f>
        <v>0.1</v>
      </c>
      <c r="AC38" s="18">
        <f t="shared" si="6"/>
        <v>30000</v>
      </c>
      <c r="AD38" t="str">
        <f t="shared" si="7"/>
        <v>Mismatch</v>
      </c>
    </row>
    <row r="39" spans="1:30" ht="15" customHeight="1" x14ac:dyDescent="0.25">
      <c r="A39" s="3" t="s">
        <v>121</v>
      </c>
      <c r="B39" s="9" t="s">
        <v>122</v>
      </c>
      <c r="C39" s="3" t="s">
        <v>21</v>
      </c>
      <c r="D39" s="3" t="s">
        <v>61</v>
      </c>
      <c r="E39" s="3" t="s">
        <v>23</v>
      </c>
      <c r="F39" s="13">
        <v>41151</v>
      </c>
      <c r="G39" s="3" t="s">
        <v>24</v>
      </c>
      <c r="H39" s="3" t="s">
        <v>25</v>
      </c>
      <c r="I39" s="17">
        <v>980000</v>
      </c>
      <c r="J39" s="21">
        <v>147000</v>
      </c>
      <c r="K39" s="25">
        <v>107800</v>
      </c>
      <c r="L39" s="28">
        <f t="shared" si="0"/>
        <v>725200</v>
      </c>
      <c r="M39" s="3">
        <v>21</v>
      </c>
      <c r="N39" s="3">
        <v>14</v>
      </c>
      <c r="O39">
        <v>7</v>
      </c>
      <c r="P39" s="3">
        <v>97</v>
      </c>
      <c r="Q39" s="3" t="s">
        <v>26</v>
      </c>
      <c r="R39" s="3">
        <v>55</v>
      </c>
      <c r="S39" s="9" t="s">
        <v>27</v>
      </c>
      <c r="T39" s="43" t="str">
        <f t="shared" si="1"/>
        <v>Available</v>
      </c>
      <c r="U39" s="43" t="str">
        <f t="shared" si="2"/>
        <v>Excellent</v>
      </c>
      <c r="V39" s="48">
        <f t="shared" si="3"/>
        <v>2012</v>
      </c>
      <c r="W39" s="45" t="str">
        <f t="shared" si="4"/>
        <v>August</v>
      </c>
      <c r="X39" s="48">
        <f t="shared" ca="1" si="5"/>
        <v>13</v>
      </c>
      <c r="AA39" s="34" t="str">
        <f>VLOOKUP(Staff_Records!D39,Grade_Scale!$A:$G,2,FALSE)</f>
        <v>Director</v>
      </c>
      <c r="AB39">
        <f>VLOOKUP(D39,Grade_Scale!$A:$G,5,FALSE)</f>
        <v>0.11</v>
      </c>
      <c r="AC39" s="18">
        <f t="shared" si="6"/>
        <v>107800</v>
      </c>
      <c r="AD39" t="str">
        <f t="shared" si="7"/>
        <v>Correct</v>
      </c>
    </row>
    <row r="40" spans="1:30" ht="15" customHeight="1" x14ac:dyDescent="0.25">
      <c r="A40" s="2" t="s">
        <v>123</v>
      </c>
      <c r="B40" s="8" t="s">
        <v>124</v>
      </c>
      <c r="C40" s="2" t="s">
        <v>37</v>
      </c>
      <c r="D40" s="2" t="s">
        <v>49</v>
      </c>
      <c r="E40" s="2" t="s">
        <v>67</v>
      </c>
      <c r="F40" s="12">
        <v>44900</v>
      </c>
      <c r="G40" s="2" t="s">
        <v>24</v>
      </c>
      <c r="H40" s="2" t="s">
        <v>33</v>
      </c>
      <c r="I40" s="16">
        <v>210000</v>
      </c>
      <c r="J40" s="20">
        <v>31500</v>
      </c>
      <c r="K40" s="24">
        <v>23100</v>
      </c>
      <c r="L40" s="28">
        <f t="shared" si="0"/>
        <v>155400</v>
      </c>
      <c r="M40" s="2">
        <v>21</v>
      </c>
      <c r="N40" s="2">
        <v>0</v>
      </c>
      <c r="O40">
        <v>21</v>
      </c>
      <c r="P40" s="2">
        <v>52</v>
      </c>
      <c r="Q40" s="2" t="s">
        <v>50</v>
      </c>
      <c r="R40" s="2">
        <v>6</v>
      </c>
      <c r="S40" s="8" t="s">
        <v>27</v>
      </c>
      <c r="T40" s="43" t="str">
        <f t="shared" si="1"/>
        <v>Available</v>
      </c>
      <c r="U40" s="43" t="str">
        <f t="shared" si="2"/>
        <v>NeedsImprovement</v>
      </c>
      <c r="V40" s="48">
        <f t="shared" si="3"/>
        <v>2022</v>
      </c>
      <c r="W40" s="45" t="str">
        <f t="shared" si="4"/>
        <v>December</v>
      </c>
      <c r="X40" s="48">
        <f t="shared" ca="1" si="5"/>
        <v>3</v>
      </c>
      <c r="AA40" s="34" t="str">
        <f>VLOOKUP(Staff_Records!D40,Grade_Scale!$A:$G,2,FALSE)</f>
        <v>Associate</v>
      </c>
      <c r="AB40">
        <f>VLOOKUP(D40,Grade_Scale!$A:$G,5,FALSE)</f>
        <v>0.08</v>
      </c>
      <c r="AC40" s="18">
        <f t="shared" si="6"/>
        <v>16800</v>
      </c>
      <c r="AD40" t="str">
        <f t="shared" si="7"/>
        <v>Mismatch</v>
      </c>
    </row>
    <row r="41" spans="1:30" ht="15" customHeight="1" x14ac:dyDescent="0.25">
      <c r="A41" s="3" t="s">
        <v>125</v>
      </c>
      <c r="B41" s="9" t="s">
        <v>126</v>
      </c>
      <c r="C41" s="3" t="s">
        <v>30</v>
      </c>
      <c r="D41" s="3" t="s">
        <v>22</v>
      </c>
      <c r="E41" s="3" t="s">
        <v>23</v>
      </c>
      <c r="F41" s="13">
        <v>42930</v>
      </c>
      <c r="G41" s="3" t="s">
        <v>24</v>
      </c>
      <c r="H41" s="3" t="s">
        <v>25</v>
      </c>
      <c r="I41" s="17">
        <v>410000</v>
      </c>
      <c r="J41" s="21">
        <v>61500</v>
      </c>
      <c r="K41" s="25">
        <v>45100</v>
      </c>
      <c r="L41" s="28">
        <f t="shared" si="0"/>
        <v>303400</v>
      </c>
      <c r="M41" s="3">
        <v>21</v>
      </c>
      <c r="N41" s="3">
        <v>21</v>
      </c>
      <c r="O41">
        <v>0</v>
      </c>
      <c r="P41" s="3">
        <v>84</v>
      </c>
      <c r="Q41" s="3" t="s">
        <v>34</v>
      </c>
      <c r="R41" s="3">
        <v>26</v>
      </c>
      <c r="S41" s="9" t="s">
        <v>27</v>
      </c>
      <c r="T41" s="43" t="str">
        <f t="shared" si="1"/>
        <v>Exhausted</v>
      </c>
      <c r="U41" s="43" t="str">
        <f t="shared" si="2"/>
        <v>Good</v>
      </c>
      <c r="V41" s="48">
        <f t="shared" si="3"/>
        <v>2017</v>
      </c>
      <c r="W41" s="45" t="str">
        <f t="shared" si="4"/>
        <v>July</v>
      </c>
      <c r="X41" s="48">
        <f t="shared" ca="1" si="5"/>
        <v>8</v>
      </c>
      <c r="AA41" s="34" t="str">
        <f>VLOOKUP(Staff_Records!D41,Grade_Scale!$A:$G,2,FALSE)</f>
        <v>Manager</v>
      </c>
      <c r="AB41">
        <f>VLOOKUP(D41,Grade_Scale!$A:$G,5,FALSE)</f>
        <v>0.11</v>
      </c>
      <c r="AC41" s="18">
        <f t="shared" si="6"/>
        <v>45100</v>
      </c>
      <c r="AD41" t="str">
        <f t="shared" si="7"/>
        <v>Correct</v>
      </c>
    </row>
    <row r="42" spans="1:30" ht="15" customHeight="1" x14ac:dyDescent="0.25">
      <c r="A42" s="2" t="s">
        <v>127</v>
      </c>
      <c r="B42" s="8" t="s">
        <v>128</v>
      </c>
      <c r="C42" s="2" t="s">
        <v>41</v>
      </c>
      <c r="D42" s="2" t="s">
        <v>22</v>
      </c>
      <c r="E42" s="2" t="s">
        <v>129</v>
      </c>
      <c r="F42" s="12">
        <v>43382</v>
      </c>
      <c r="G42" s="2" t="s">
        <v>24</v>
      </c>
      <c r="H42" s="2" t="s">
        <v>33</v>
      </c>
      <c r="I42" s="16">
        <v>405000</v>
      </c>
      <c r="J42" s="20">
        <v>60750</v>
      </c>
      <c r="K42" s="24">
        <v>44550</v>
      </c>
      <c r="L42" s="28">
        <f t="shared" si="0"/>
        <v>299700</v>
      </c>
      <c r="M42" s="2">
        <v>21</v>
      </c>
      <c r="N42" s="2">
        <v>14</v>
      </c>
      <c r="O42">
        <v>7</v>
      </c>
      <c r="P42" s="2">
        <v>82</v>
      </c>
      <c r="Q42" s="2" t="s">
        <v>34</v>
      </c>
      <c r="R42" s="2">
        <v>23</v>
      </c>
      <c r="S42" s="8" t="s">
        <v>27</v>
      </c>
      <c r="T42" s="43" t="str">
        <f t="shared" si="1"/>
        <v>Available</v>
      </c>
      <c r="U42" s="43" t="str">
        <f t="shared" si="2"/>
        <v>Good</v>
      </c>
      <c r="V42" s="48">
        <f t="shared" si="3"/>
        <v>2018</v>
      </c>
      <c r="W42" s="45" t="str">
        <f t="shared" si="4"/>
        <v>October</v>
      </c>
      <c r="X42" s="48">
        <f t="shared" ca="1" si="5"/>
        <v>7</v>
      </c>
      <c r="AA42" s="34" t="str">
        <f>VLOOKUP(Staff_Records!D42,Grade_Scale!$A:$G,2,FALSE)</f>
        <v>Manager</v>
      </c>
      <c r="AB42">
        <f>VLOOKUP(D42,Grade_Scale!$A:$G,5,FALSE)</f>
        <v>0.11</v>
      </c>
      <c r="AC42" s="18">
        <f t="shared" si="6"/>
        <v>44550</v>
      </c>
      <c r="AD42" t="str">
        <f t="shared" si="7"/>
        <v>Correct</v>
      </c>
    </row>
    <row r="43" spans="1:30" ht="15" customHeight="1" x14ac:dyDescent="0.25">
      <c r="A43" s="3" t="s">
        <v>130</v>
      </c>
      <c r="B43" s="9" t="s">
        <v>131</v>
      </c>
      <c r="C43" s="3" t="s">
        <v>57</v>
      </c>
      <c r="D43" s="3" t="s">
        <v>49</v>
      </c>
      <c r="E43" s="3" t="s">
        <v>42</v>
      </c>
      <c r="F43" s="13">
        <v>45061</v>
      </c>
      <c r="G43" s="3" t="s">
        <v>43</v>
      </c>
      <c r="H43" s="3" t="s">
        <v>25</v>
      </c>
      <c r="I43" s="17">
        <v>200000</v>
      </c>
      <c r="J43" s="21">
        <v>30000</v>
      </c>
      <c r="K43" s="25">
        <v>22000</v>
      </c>
      <c r="L43" s="28">
        <f t="shared" si="0"/>
        <v>148000</v>
      </c>
      <c r="M43" s="3">
        <v>14</v>
      </c>
      <c r="N43" s="3">
        <v>7</v>
      </c>
      <c r="O43">
        <v>7</v>
      </c>
      <c r="P43" s="3">
        <v>58</v>
      </c>
      <c r="Q43" s="3" t="s">
        <v>50</v>
      </c>
      <c r="R43" s="3">
        <v>9</v>
      </c>
      <c r="S43" s="9" t="s">
        <v>27</v>
      </c>
      <c r="T43" s="43" t="str">
        <f t="shared" si="1"/>
        <v>Available</v>
      </c>
      <c r="U43" s="43" t="str">
        <f t="shared" si="2"/>
        <v>NeedsImprovement</v>
      </c>
      <c r="V43" s="48">
        <f t="shared" si="3"/>
        <v>2023</v>
      </c>
      <c r="W43" s="45" t="str">
        <f t="shared" si="4"/>
        <v>May</v>
      </c>
      <c r="X43" s="48">
        <f t="shared" ca="1" si="5"/>
        <v>2</v>
      </c>
      <c r="AA43" s="34" t="str">
        <f>VLOOKUP(Staff_Records!D43,Grade_Scale!$A:$G,2,FALSE)</f>
        <v>Associate</v>
      </c>
      <c r="AB43">
        <f>VLOOKUP(D43,Grade_Scale!$A:$G,5,FALSE)</f>
        <v>0.08</v>
      </c>
      <c r="AC43" s="18">
        <f t="shared" si="6"/>
        <v>16000</v>
      </c>
      <c r="AD43" t="str">
        <f t="shared" si="7"/>
        <v>Mismatch</v>
      </c>
    </row>
    <row r="44" spans="1:30" ht="15" customHeight="1" x14ac:dyDescent="0.25">
      <c r="A44" s="2" t="s">
        <v>132</v>
      </c>
      <c r="B44" s="8" t="s">
        <v>133</v>
      </c>
      <c r="C44" s="2" t="s">
        <v>21</v>
      </c>
      <c r="D44" s="2" t="s">
        <v>22</v>
      </c>
      <c r="E44" s="2" t="s">
        <v>64</v>
      </c>
      <c r="F44" s="12">
        <v>43493</v>
      </c>
      <c r="G44" s="2" t="s">
        <v>24</v>
      </c>
      <c r="H44" s="2" t="s">
        <v>33</v>
      </c>
      <c r="I44" s="16">
        <v>400000</v>
      </c>
      <c r="J44" s="20">
        <v>60000</v>
      </c>
      <c r="K44" s="24">
        <v>44000</v>
      </c>
      <c r="L44" s="28">
        <f t="shared" si="0"/>
        <v>296000</v>
      </c>
      <c r="M44" s="2">
        <v>21</v>
      </c>
      <c r="N44" s="2">
        <v>7</v>
      </c>
      <c r="O44">
        <v>14</v>
      </c>
      <c r="P44" s="2">
        <v>87</v>
      </c>
      <c r="Q44" s="2" t="s">
        <v>26</v>
      </c>
      <c r="R44" s="2">
        <v>27</v>
      </c>
      <c r="S44" s="8" t="s">
        <v>27</v>
      </c>
      <c r="T44" s="43" t="str">
        <f t="shared" si="1"/>
        <v>Available</v>
      </c>
      <c r="U44" s="43" t="str">
        <f t="shared" si="2"/>
        <v>Excellent</v>
      </c>
      <c r="V44" s="48">
        <f t="shared" si="3"/>
        <v>2019</v>
      </c>
      <c r="W44" s="45" t="str">
        <f t="shared" si="4"/>
        <v>January</v>
      </c>
      <c r="X44" s="48">
        <f t="shared" ca="1" si="5"/>
        <v>7</v>
      </c>
      <c r="AA44" s="34" t="str">
        <f>VLOOKUP(Staff_Records!D44,Grade_Scale!$A:$G,2,FALSE)</f>
        <v>Manager</v>
      </c>
      <c r="AB44">
        <f>VLOOKUP(D44,Grade_Scale!$A:$G,5,FALSE)</f>
        <v>0.11</v>
      </c>
      <c r="AC44" s="18">
        <f t="shared" si="6"/>
        <v>44000</v>
      </c>
      <c r="AD44" t="str">
        <f t="shared" si="7"/>
        <v>Correct</v>
      </c>
    </row>
    <row r="45" spans="1:30" ht="15" customHeight="1" x14ac:dyDescent="0.25">
      <c r="A45" s="3" t="s">
        <v>134</v>
      </c>
      <c r="B45" s="9" t="s">
        <v>135</v>
      </c>
      <c r="C45" s="3" t="s">
        <v>37</v>
      </c>
      <c r="D45" s="3" t="s">
        <v>38</v>
      </c>
      <c r="E45" s="3" t="s">
        <v>23</v>
      </c>
      <c r="F45" s="13">
        <v>42268</v>
      </c>
      <c r="G45" s="3" t="s">
        <v>24</v>
      </c>
      <c r="H45" s="3" t="s">
        <v>25</v>
      </c>
      <c r="I45" s="17">
        <v>555000</v>
      </c>
      <c r="J45" s="21">
        <v>83250</v>
      </c>
      <c r="K45" s="25">
        <v>61050</v>
      </c>
      <c r="L45" s="28">
        <f t="shared" si="0"/>
        <v>410700</v>
      </c>
      <c r="M45" s="3">
        <v>21</v>
      </c>
      <c r="N45" s="3">
        <v>21</v>
      </c>
      <c r="O45">
        <v>0</v>
      </c>
      <c r="P45" s="3">
        <v>89</v>
      </c>
      <c r="Q45" s="3" t="s">
        <v>26</v>
      </c>
      <c r="R45" s="3">
        <v>36</v>
      </c>
      <c r="S45" s="9" t="s">
        <v>27</v>
      </c>
      <c r="T45" s="43" t="str">
        <f t="shared" si="1"/>
        <v>Exhausted</v>
      </c>
      <c r="U45" s="43" t="str">
        <f t="shared" si="2"/>
        <v>Excellent</v>
      </c>
      <c r="V45" s="48">
        <f t="shared" si="3"/>
        <v>2015</v>
      </c>
      <c r="W45" s="45" t="str">
        <f t="shared" si="4"/>
        <v>September</v>
      </c>
      <c r="X45" s="48">
        <f t="shared" ca="1" si="5"/>
        <v>10</v>
      </c>
      <c r="AA45" s="34" t="str">
        <f>VLOOKUP(Staff_Records!D45,Grade_Scale!$A:$G,2,FALSE)</f>
        <v>Senior Manager</v>
      </c>
      <c r="AB45">
        <f>VLOOKUP(D45,Grade_Scale!$A:$G,5,FALSE)</f>
        <v>0.11</v>
      </c>
      <c r="AC45" s="18">
        <f t="shared" si="6"/>
        <v>61050</v>
      </c>
      <c r="AD45" t="str">
        <f t="shared" si="7"/>
        <v>Correct</v>
      </c>
    </row>
    <row r="46" spans="1:30" ht="15" customHeight="1" x14ac:dyDescent="0.25">
      <c r="A46" s="2" t="s">
        <v>136</v>
      </c>
      <c r="B46" s="8" t="s">
        <v>137</v>
      </c>
      <c r="C46" s="2" t="s">
        <v>41</v>
      </c>
      <c r="D46" s="2" t="s">
        <v>31</v>
      </c>
      <c r="E46" s="2" t="s">
        <v>32</v>
      </c>
      <c r="F46" s="12">
        <v>44571</v>
      </c>
      <c r="G46" s="2" t="s">
        <v>24</v>
      </c>
      <c r="H46" s="2" t="s">
        <v>33</v>
      </c>
      <c r="I46" s="16">
        <v>280000</v>
      </c>
      <c r="J46" s="20">
        <v>42000</v>
      </c>
      <c r="K46" s="24">
        <v>30800</v>
      </c>
      <c r="L46" s="28">
        <f t="shared" si="0"/>
        <v>207200</v>
      </c>
      <c r="M46" s="2">
        <v>21</v>
      </c>
      <c r="N46" s="2">
        <v>7</v>
      </c>
      <c r="O46">
        <v>14</v>
      </c>
      <c r="P46" s="2">
        <v>69</v>
      </c>
      <c r="Q46" s="2" t="s">
        <v>34</v>
      </c>
      <c r="R46" s="2">
        <v>14</v>
      </c>
      <c r="S46" s="8" t="s">
        <v>27</v>
      </c>
      <c r="T46" s="43" t="str">
        <f t="shared" si="1"/>
        <v>Available</v>
      </c>
      <c r="U46" s="43" t="str">
        <f t="shared" si="2"/>
        <v>NeedsImprovement</v>
      </c>
      <c r="V46" s="48">
        <f t="shared" si="3"/>
        <v>2022</v>
      </c>
      <c r="W46" s="45" t="str">
        <f t="shared" si="4"/>
        <v>January</v>
      </c>
      <c r="X46" s="48">
        <f t="shared" ca="1" si="5"/>
        <v>4</v>
      </c>
      <c r="Z46" s="18"/>
      <c r="AA46" s="34" t="str">
        <f>VLOOKUP(Staff_Records!D46,Grade_Scale!$A:$G,2,FALSE)</f>
        <v>Senior Associate</v>
      </c>
      <c r="AB46">
        <f>VLOOKUP(D46,Grade_Scale!$A:$G,5,FALSE)</f>
        <v>0.1</v>
      </c>
      <c r="AC46" s="18">
        <f t="shared" si="6"/>
        <v>28000</v>
      </c>
      <c r="AD46" t="str">
        <f t="shared" si="7"/>
        <v>Mismatch</v>
      </c>
    </row>
    <row r="47" spans="1:30" ht="15" customHeight="1" x14ac:dyDescent="0.25">
      <c r="A47" s="3" t="s">
        <v>138</v>
      </c>
      <c r="B47" s="9" t="s">
        <v>139</v>
      </c>
      <c r="C47" s="3" t="s">
        <v>57</v>
      </c>
      <c r="D47" s="3" t="s">
        <v>38</v>
      </c>
      <c r="E47" s="3" t="s">
        <v>23</v>
      </c>
      <c r="F47" s="13">
        <v>42414</v>
      </c>
      <c r="G47" s="3" t="s">
        <v>24</v>
      </c>
      <c r="H47" s="3" t="s">
        <v>25</v>
      </c>
      <c r="I47" s="17">
        <v>545000</v>
      </c>
      <c r="J47" s="21">
        <v>81750</v>
      </c>
      <c r="K47" s="25">
        <v>59950</v>
      </c>
      <c r="L47" s="28">
        <f t="shared" si="0"/>
        <v>403300</v>
      </c>
      <c r="M47" s="3">
        <v>21</v>
      </c>
      <c r="N47" s="3">
        <v>14</v>
      </c>
      <c r="O47">
        <v>7</v>
      </c>
      <c r="P47" s="3">
        <v>91</v>
      </c>
      <c r="Q47" s="31" t="s">
        <v>26</v>
      </c>
      <c r="R47" s="3">
        <v>38</v>
      </c>
      <c r="S47" s="9" t="s">
        <v>27</v>
      </c>
      <c r="T47" s="43" t="str">
        <f t="shared" si="1"/>
        <v>Available</v>
      </c>
      <c r="U47" s="43" t="str">
        <f t="shared" si="2"/>
        <v>Excellent</v>
      </c>
      <c r="V47" s="48">
        <f t="shared" si="3"/>
        <v>2016</v>
      </c>
      <c r="W47" s="45" t="str">
        <f t="shared" si="4"/>
        <v>February</v>
      </c>
      <c r="X47" s="48">
        <f t="shared" ca="1" si="5"/>
        <v>10</v>
      </c>
      <c r="Z47" s="29"/>
      <c r="AA47" s="34" t="str">
        <f>VLOOKUP(Staff_Records!D47,Grade_Scale!$A:$G,2,FALSE)</f>
        <v>Senior Manager</v>
      </c>
      <c r="AB47">
        <f>VLOOKUP(D47,Grade_Scale!$A:$G,5,FALSE)</f>
        <v>0.11</v>
      </c>
      <c r="AC47" s="18">
        <f t="shared" si="6"/>
        <v>59950</v>
      </c>
      <c r="AD47" t="str">
        <f t="shared" si="7"/>
        <v>Correct</v>
      </c>
    </row>
    <row r="48" spans="1:30" ht="15" customHeight="1" x14ac:dyDescent="0.25">
      <c r="A48" s="2" t="s">
        <v>140</v>
      </c>
      <c r="B48" s="8" t="s">
        <v>141</v>
      </c>
      <c r="C48" s="2" t="s">
        <v>30</v>
      </c>
      <c r="D48" s="2" t="s">
        <v>31</v>
      </c>
      <c r="E48" s="2" t="s">
        <v>32</v>
      </c>
      <c r="F48" s="12">
        <v>44442</v>
      </c>
      <c r="G48" s="2" t="s">
        <v>24</v>
      </c>
      <c r="H48" s="2" t="s">
        <v>33</v>
      </c>
      <c r="I48" s="16">
        <v>305000</v>
      </c>
      <c r="J48" s="20">
        <v>45750</v>
      </c>
      <c r="K48" s="24">
        <v>33550</v>
      </c>
      <c r="L48" s="28">
        <f t="shared" si="0"/>
        <v>225700</v>
      </c>
      <c r="M48" s="2">
        <v>21</v>
      </c>
      <c r="N48" s="2">
        <v>0</v>
      </c>
      <c r="O48">
        <v>21</v>
      </c>
      <c r="P48" s="2">
        <v>0</v>
      </c>
      <c r="Q48" s="2" t="s">
        <v>58</v>
      </c>
      <c r="R48" s="2">
        <v>4</v>
      </c>
      <c r="S48" s="8" t="s">
        <v>27</v>
      </c>
      <c r="T48" s="43" t="str">
        <f t="shared" si="1"/>
        <v>Available</v>
      </c>
      <c r="U48" s="43" t="str">
        <f t="shared" si="2"/>
        <v>NeedsImprovement</v>
      </c>
      <c r="V48" s="48">
        <f t="shared" si="3"/>
        <v>2021</v>
      </c>
      <c r="W48" s="45" t="str">
        <f t="shared" si="4"/>
        <v>September</v>
      </c>
      <c r="X48" s="48">
        <f t="shared" ca="1" si="5"/>
        <v>4</v>
      </c>
      <c r="Z48" s="18"/>
      <c r="AA48" s="34" t="str">
        <f>VLOOKUP(Staff_Records!D48,Grade_Scale!$A:$G,2,FALSE)</f>
        <v>Senior Associate</v>
      </c>
      <c r="AB48">
        <f>VLOOKUP(D48,Grade_Scale!$A:$G,5,FALSE)</f>
        <v>0.1</v>
      </c>
      <c r="AC48" s="18">
        <f t="shared" si="6"/>
        <v>30500</v>
      </c>
      <c r="AD48" t="str">
        <f t="shared" si="7"/>
        <v>Mismatch</v>
      </c>
    </row>
    <row r="49" spans="1:30" ht="15" customHeight="1" x14ac:dyDescent="0.25">
      <c r="A49" s="3" t="s">
        <v>142</v>
      </c>
      <c r="B49" s="9" t="s">
        <v>143</v>
      </c>
      <c r="C49" s="3" t="s">
        <v>21</v>
      </c>
      <c r="D49" s="3" t="s">
        <v>31</v>
      </c>
      <c r="E49" s="3" t="s">
        <v>23</v>
      </c>
      <c r="F49" s="13">
        <v>44761</v>
      </c>
      <c r="G49" s="3" t="s">
        <v>24</v>
      </c>
      <c r="H49" s="3" t="s">
        <v>25</v>
      </c>
      <c r="I49" s="17">
        <v>315000</v>
      </c>
      <c r="J49" s="21">
        <v>47250</v>
      </c>
      <c r="K49" s="25">
        <v>34650</v>
      </c>
      <c r="L49" s="28">
        <f t="shared" si="0"/>
        <v>233100</v>
      </c>
      <c r="M49" s="3">
        <v>21</v>
      </c>
      <c r="N49" s="3">
        <v>7</v>
      </c>
      <c r="O49">
        <v>14</v>
      </c>
      <c r="P49" s="3">
        <v>74</v>
      </c>
      <c r="Q49" s="3" t="s">
        <v>34</v>
      </c>
      <c r="R49" s="3">
        <v>15</v>
      </c>
      <c r="S49" s="9" t="s">
        <v>27</v>
      </c>
      <c r="T49" s="43" t="str">
        <f t="shared" si="1"/>
        <v>Available</v>
      </c>
      <c r="U49" s="43" t="str">
        <f t="shared" si="2"/>
        <v>Good</v>
      </c>
      <c r="V49" s="48">
        <f t="shared" si="3"/>
        <v>2022</v>
      </c>
      <c r="W49" s="45" t="str">
        <f t="shared" si="4"/>
        <v>July</v>
      </c>
      <c r="X49" s="48">
        <f t="shared" ca="1" si="5"/>
        <v>3</v>
      </c>
      <c r="AA49" s="34" t="str">
        <f>VLOOKUP(Staff_Records!D49,Grade_Scale!$A:$G,2,FALSE)</f>
        <v>Senior Associate</v>
      </c>
      <c r="AB49">
        <f>VLOOKUP(D49,Grade_Scale!$A:$G,5,FALSE)</f>
        <v>0.1</v>
      </c>
      <c r="AC49" s="18">
        <f t="shared" si="6"/>
        <v>31500</v>
      </c>
      <c r="AD49" t="str">
        <f t="shared" si="7"/>
        <v>Mismatch</v>
      </c>
    </row>
    <row r="50" spans="1:30" ht="15" customHeight="1" x14ac:dyDescent="0.25">
      <c r="A50" s="2" t="s">
        <v>144</v>
      </c>
      <c r="B50" s="8" t="s">
        <v>145</v>
      </c>
      <c r="C50" s="2" t="s">
        <v>37</v>
      </c>
      <c r="D50" s="2" t="s">
        <v>22</v>
      </c>
      <c r="E50" s="2" t="s">
        <v>72</v>
      </c>
      <c r="F50" s="12">
        <v>43227</v>
      </c>
      <c r="G50" s="2" t="s">
        <v>24</v>
      </c>
      <c r="H50" s="2" t="s">
        <v>33</v>
      </c>
      <c r="I50" s="16">
        <v>390000</v>
      </c>
      <c r="J50" s="20">
        <v>58500</v>
      </c>
      <c r="K50" s="24">
        <v>42900</v>
      </c>
      <c r="L50" s="28">
        <f t="shared" si="0"/>
        <v>288600</v>
      </c>
      <c r="M50" s="2">
        <v>21</v>
      </c>
      <c r="N50" s="2">
        <v>21</v>
      </c>
      <c r="O50">
        <v>0</v>
      </c>
      <c r="P50" s="2">
        <v>80</v>
      </c>
      <c r="Q50" s="2" t="s">
        <v>34</v>
      </c>
      <c r="R50" s="2">
        <v>21</v>
      </c>
      <c r="S50" s="8" t="s">
        <v>27</v>
      </c>
      <c r="T50" s="43" t="str">
        <f t="shared" si="1"/>
        <v>Exhausted</v>
      </c>
      <c r="U50" s="43" t="str">
        <f t="shared" si="2"/>
        <v>Good</v>
      </c>
      <c r="V50" s="48">
        <f t="shared" si="3"/>
        <v>2018</v>
      </c>
      <c r="W50" s="45" t="str">
        <f t="shared" si="4"/>
        <v>May</v>
      </c>
      <c r="X50" s="48">
        <f t="shared" ca="1" si="5"/>
        <v>7</v>
      </c>
      <c r="AA50" s="34" t="str">
        <f>VLOOKUP(Staff_Records!D50,Grade_Scale!$A:$G,2,FALSE)</f>
        <v>Manager</v>
      </c>
      <c r="AB50">
        <f>VLOOKUP(D50,Grade_Scale!$A:$G,5,FALSE)</f>
        <v>0.11</v>
      </c>
      <c r="AC50" s="18">
        <f t="shared" si="6"/>
        <v>42900</v>
      </c>
      <c r="AD50" t="str">
        <f t="shared" si="7"/>
        <v>Correct</v>
      </c>
    </row>
    <row r="51" spans="1:30" ht="15" customHeight="1" x14ac:dyDescent="0.25">
      <c r="A51" s="3" t="s">
        <v>146</v>
      </c>
      <c r="B51" s="9" t="s">
        <v>147</v>
      </c>
      <c r="C51" s="3" t="s">
        <v>41</v>
      </c>
      <c r="D51" s="3" t="s">
        <v>61</v>
      </c>
      <c r="E51" s="3" t="s">
        <v>23</v>
      </c>
      <c r="F51" s="13">
        <v>41659</v>
      </c>
      <c r="G51" s="3" t="s">
        <v>24</v>
      </c>
      <c r="H51" s="3" t="s">
        <v>25</v>
      </c>
      <c r="I51" s="17">
        <v>890000</v>
      </c>
      <c r="J51" s="21">
        <v>133500</v>
      </c>
      <c r="K51" s="25">
        <v>97900</v>
      </c>
      <c r="L51" s="28">
        <f t="shared" si="0"/>
        <v>658600</v>
      </c>
      <c r="M51" s="3">
        <v>21</v>
      </c>
      <c r="N51" s="3">
        <v>7</v>
      </c>
      <c r="O51">
        <v>14</v>
      </c>
      <c r="P51" s="3">
        <v>95</v>
      </c>
      <c r="Q51" s="3" t="s">
        <v>26</v>
      </c>
      <c r="R51" s="3">
        <v>48</v>
      </c>
      <c r="S51" s="9" t="s">
        <v>27</v>
      </c>
      <c r="T51" s="43" t="str">
        <f t="shared" si="1"/>
        <v>Available</v>
      </c>
      <c r="U51" s="43" t="str">
        <f t="shared" si="2"/>
        <v>Excellent</v>
      </c>
      <c r="V51" s="48">
        <f t="shared" si="3"/>
        <v>2014</v>
      </c>
      <c r="W51" s="45" t="str">
        <f t="shared" si="4"/>
        <v>January</v>
      </c>
      <c r="X51" s="48">
        <f t="shared" ca="1" si="5"/>
        <v>12</v>
      </c>
      <c r="AA51" s="34" t="str">
        <f>VLOOKUP(Staff_Records!D51,Grade_Scale!$A:$G,2,FALSE)</f>
        <v>Director</v>
      </c>
      <c r="AB51">
        <f>VLOOKUP(D51,Grade_Scale!$A:$G,5,FALSE)</f>
        <v>0.11</v>
      </c>
      <c r="AC51" s="18">
        <f t="shared" si="6"/>
        <v>97900</v>
      </c>
      <c r="AD51" t="str">
        <f t="shared" si="7"/>
        <v>Correct</v>
      </c>
    </row>
    <row r="52" spans="1:30" ht="15" customHeight="1" x14ac:dyDescent="0.25">
      <c r="A52" s="2" t="s">
        <v>148</v>
      </c>
      <c r="B52" s="8" t="s">
        <v>149</v>
      </c>
      <c r="C52" s="2" t="s">
        <v>57</v>
      </c>
      <c r="D52" s="2" t="s">
        <v>49</v>
      </c>
      <c r="E52" s="2" t="s">
        <v>67</v>
      </c>
      <c r="F52" s="12">
        <v>45089</v>
      </c>
      <c r="G52" s="2" t="s">
        <v>43</v>
      </c>
      <c r="H52" s="2" t="s">
        <v>25</v>
      </c>
      <c r="I52" s="16">
        <v>195000</v>
      </c>
      <c r="J52" s="20">
        <v>29250</v>
      </c>
      <c r="K52" s="24">
        <v>21450</v>
      </c>
      <c r="L52" s="28">
        <f t="shared" si="0"/>
        <v>144300</v>
      </c>
      <c r="M52" s="2">
        <v>14</v>
      </c>
      <c r="N52" s="2">
        <v>0</v>
      </c>
      <c r="O52">
        <v>14</v>
      </c>
      <c r="P52" s="2">
        <v>60</v>
      </c>
      <c r="Q52" s="2" t="s">
        <v>50</v>
      </c>
      <c r="R52" s="2">
        <v>8</v>
      </c>
      <c r="S52" s="8" t="s">
        <v>27</v>
      </c>
      <c r="T52" s="43" t="str">
        <f t="shared" si="1"/>
        <v>Available</v>
      </c>
      <c r="U52" s="43" t="str">
        <f t="shared" si="2"/>
        <v>NeedsImprovement</v>
      </c>
      <c r="V52" s="48">
        <f t="shared" si="3"/>
        <v>2023</v>
      </c>
      <c r="W52" s="45" t="str">
        <f t="shared" si="4"/>
        <v>June</v>
      </c>
      <c r="X52" s="48">
        <f t="shared" ca="1" si="5"/>
        <v>2</v>
      </c>
      <c r="AA52" s="34" t="str">
        <f>VLOOKUP(Staff_Records!D52,Grade_Scale!$A:$G,2,FALSE)</f>
        <v>Associate</v>
      </c>
      <c r="AB52">
        <f>VLOOKUP(D52,Grade_Scale!$A:$G,5,FALSE)</f>
        <v>0.08</v>
      </c>
      <c r="AC52" s="18">
        <f t="shared" si="6"/>
        <v>15600</v>
      </c>
      <c r="AD52" t="str">
        <f t="shared" si="7"/>
        <v>Mismatch</v>
      </c>
    </row>
    <row r="53" spans="1:30" ht="15" customHeight="1" x14ac:dyDescent="0.25">
      <c r="A53" s="3" t="s">
        <v>150</v>
      </c>
      <c r="B53" s="9" t="s">
        <v>151</v>
      </c>
      <c r="C53" s="3" t="s">
        <v>21</v>
      </c>
      <c r="D53" s="3" t="s">
        <v>31</v>
      </c>
      <c r="E53" s="3" t="s">
        <v>32</v>
      </c>
      <c r="F53" s="13">
        <v>44530</v>
      </c>
      <c r="G53" s="3" t="s">
        <v>24</v>
      </c>
      <c r="H53" s="3" t="s">
        <v>33</v>
      </c>
      <c r="I53" s="17">
        <v>325000</v>
      </c>
      <c r="J53" s="21">
        <v>48750</v>
      </c>
      <c r="K53" s="25">
        <v>35750</v>
      </c>
      <c r="L53" s="28">
        <f t="shared" si="0"/>
        <v>240500</v>
      </c>
      <c r="M53" s="3">
        <v>21</v>
      </c>
      <c r="N53" s="3">
        <v>14</v>
      </c>
      <c r="O53">
        <v>7</v>
      </c>
      <c r="P53" s="3">
        <v>73</v>
      </c>
      <c r="Q53" s="3" t="s">
        <v>34</v>
      </c>
      <c r="R53" s="3">
        <v>16</v>
      </c>
      <c r="S53" s="9" t="s">
        <v>27</v>
      </c>
      <c r="T53" s="43" t="str">
        <f t="shared" si="1"/>
        <v>Available</v>
      </c>
      <c r="U53" s="43" t="str">
        <f t="shared" si="2"/>
        <v>Good</v>
      </c>
      <c r="V53" s="48">
        <f t="shared" si="3"/>
        <v>2021</v>
      </c>
      <c r="W53" s="45" t="str">
        <f t="shared" si="4"/>
        <v>November</v>
      </c>
      <c r="X53" s="48">
        <f t="shared" ca="1" si="5"/>
        <v>4</v>
      </c>
      <c r="AA53" s="34" t="str">
        <f>VLOOKUP(Staff_Records!D53,Grade_Scale!$A:$G,2,FALSE)</f>
        <v>Senior Associate</v>
      </c>
      <c r="AB53">
        <f>VLOOKUP(D53,Grade_Scale!$A:$G,5,FALSE)</f>
        <v>0.1</v>
      </c>
      <c r="AC53" s="18">
        <f t="shared" si="6"/>
        <v>32500</v>
      </c>
      <c r="AD53" t="str">
        <f t="shared" si="7"/>
        <v>Mismatch</v>
      </c>
    </row>
    <row r="54" spans="1:30" ht="15" customHeight="1" x14ac:dyDescent="0.25">
      <c r="A54" s="2" t="s">
        <v>152</v>
      </c>
      <c r="B54" s="8" t="s">
        <v>153</v>
      </c>
      <c r="C54" s="2" t="s">
        <v>37</v>
      </c>
      <c r="D54" s="2" t="s">
        <v>49</v>
      </c>
      <c r="E54" s="2" t="s">
        <v>23</v>
      </c>
      <c r="F54" s="12">
        <v>45139</v>
      </c>
      <c r="G54" s="2" t="s">
        <v>24</v>
      </c>
      <c r="H54" s="2" t="s">
        <v>25</v>
      </c>
      <c r="I54" s="16">
        <v>205000</v>
      </c>
      <c r="J54" s="20">
        <v>30750</v>
      </c>
      <c r="K54" s="24">
        <v>22550</v>
      </c>
      <c r="L54" s="28">
        <f t="shared" si="0"/>
        <v>151700</v>
      </c>
      <c r="M54" s="2">
        <v>21</v>
      </c>
      <c r="N54" s="2">
        <v>0</v>
      </c>
      <c r="O54">
        <v>21</v>
      </c>
      <c r="P54" s="2">
        <v>50</v>
      </c>
      <c r="Q54" s="2" t="s">
        <v>50</v>
      </c>
      <c r="R54" s="2">
        <v>5</v>
      </c>
      <c r="S54" s="8" t="s">
        <v>27</v>
      </c>
      <c r="T54" s="43" t="str">
        <f t="shared" si="1"/>
        <v>Available</v>
      </c>
      <c r="U54" s="43" t="str">
        <f t="shared" si="2"/>
        <v>NeedsImprovement</v>
      </c>
      <c r="V54" s="48">
        <f t="shared" si="3"/>
        <v>2023</v>
      </c>
      <c r="W54" s="45" t="str">
        <f t="shared" si="4"/>
        <v>August</v>
      </c>
      <c r="X54" s="48">
        <f t="shared" ca="1" si="5"/>
        <v>2</v>
      </c>
      <c r="AA54" s="34" t="str">
        <f>VLOOKUP(Staff_Records!D54,Grade_Scale!$A:$G,2,FALSE)</f>
        <v>Associate</v>
      </c>
      <c r="AB54">
        <f>VLOOKUP(D54,Grade_Scale!$A:$G,5,FALSE)</f>
        <v>0.08</v>
      </c>
      <c r="AC54" s="18">
        <f t="shared" si="6"/>
        <v>16400</v>
      </c>
      <c r="AD54" t="str">
        <f t="shared" si="7"/>
        <v>Mismatch</v>
      </c>
    </row>
    <row r="55" spans="1:30" ht="15" customHeight="1" x14ac:dyDescent="0.25">
      <c r="A55" s="3" t="s">
        <v>154</v>
      </c>
      <c r="B55" s="9" t="s">
        <v>155</v>
      </c>
      <c r="C55" s="3" t="s">
        <v>30</v>
      </c>
      <c r="D55" s="3" t="s">
        <v>38</v>
      </c>
      <c r="E55" s="3" t="s">
        <v>32</v>
      </c>
      <c r="F55" s="13">
        <v>42112</v>
      </c>
      <c r="G55" s="3" t="s">
        <v>24</v>
      </c>
      <c r="H55" s="3" t="s">
        <v>33</v>
      </c>
      <c r="I55" s="17">
        <v>530000</v>
      </c>
      <c r="J55" s="21">
        <v>79500</v>
      </c>
      <c r="K55" s="25">
        <v>58300</v>
      </c>
      <c r="L55" s="28">
        <f t="shared" si="0"/>
        <v>392200</v>
      </c>
      <c r="M55" s="3">
        <v>21</v>
      </c>
      <c r="N55" s="3">
        <v>14</v>
      </c>
      <c r="O55">
        <v>7</v>
      </c>
      <c r="P55" s="3">
        <v>87</v>
      </c>
      <c r="Q55" s="3" t="s">
        <v>26</v>
      </c>
      <c r="R55" s="3">
        <v>31</v>
      </c>
      <c r="S55" s="9" t="s">
        <v>27</v>
      </c>
      <c r="T55" s="43" t="str">
        <f t="shared" si="1"/>
        <v>Available</v>
      </c>
      <c r="U55" s="43" t="str">
        <f t="shared" si="2"/>
        <v>Excellent</v>
      </c>
      <c r="V55" s="48">
        <f t="shared" si="3"/>
        <v>2015</v>
      </c>
      <c r="W55" s="45" t="str">
        <f t="shared" si="4"/>
        <v>April</v>
      </c>
      <c r="X55" s="48">
        <f t="shared" ca="1" si="5"/>
        <v>10</v>
      </c>
      <c r="AA55" s="34" t="str">
        <f>VLOOKUP(Staff_Records!D55,Grade_Scale!$A:$G,2,FALSE)</f>
        <v>Senior Manager</v>
      </c>
      <c r="AB55">
        <f>VLOOKUP(D55,Grade_Scale!$A:$G,5,FALSE)</f>
        <v>0.11</v>
      </c>
      <c r="AC55" s="18">
        <f t="shared" si="6"/>
        <v>58300</v>
      </c>
      <c r="AD55" t="str">
        <f t="shared" si="7"/>
        <v>Correct</v>
      </c>
    </row>
    <row r="56" spans="1:30" ht="15" customHeight="1" x14ac:dyDescent="0.25">
      <c r="A56" s="2" t="s">
        <v>156</v>
      </c>
      <c r="B56" s="8" t="s">
        <v>157</v>
      </c>
      <c r="C56" s="2" t="s">
        <v>41</v>
      </c>
      <c r="D56" s="2" t="s">
        <v>22</v>
      </c>
      <c r="E56" s="2" t="s">
        <v>23</v>
      </c>
      <c r="F56" s="12">
        <v>43640</v>
      </c>
      <c r="G56" s="2" t="s">
        <v>24</v>
      </c>
      <c r="H56" s="2" t="s">
        <v>33</v>
      </c>
      <c r="I56" s="16">
        <v>420000</v>
      </c>
      <c r="J56" s="20">
        <v>63000</v>
      </c>
      <c r="K56" s="24">
        <v>46200</v>
      </c>
      <c r="L56" s="28">
        <f t="shared" si="0"/>
        <v>310800</v>
      </c>
      <c r="M56" s="2">
        <v>21</v>
      </c>
      <c r="N56" s="2">
        <v>7</v>
      </c>
      <c r="O56">
        <v>14</v>
      </c>
      <c r="P56" s="2">
        <v>84</v>
      </c>
      <c r="Q56" s="2" t="s">
        <v>34</v>
      </c>
      <c r="R56" s="2">
        <v>26</v>
      </c>
      <c r="S56" s="8" t="s">
        <v>27</v>
      </c>
      <c r="T56" s="43" t="str">
        <f t="shared" si="1"/>
        <v>Available</v>
      </c>
      <c r="U56" s="43" t="str">
        <f t="shared" si="2"/>
        <v>Good</v>
      </c>
      <c r="V56" s="48">
        <f t="shared" si="3"/>
        <v>2019</v>
      </c>
      <c r="W56" s="45" t="str">
        <f t="shared" si="4"/>
        <v>June</v>
      </c>
      <c r="X56" s="48">
        <f t="shared" ca="1" si="5"/>
        <v>6</v>
      </c>
      <c r="AA56" s="34" t="str">
        <f>VLOOKUP(Staff_Records!D56,Grade_Scale!$A:$G,2,FALSE)</f>
        <v>Manager</v>
      </c>
      <c r="AB56">
        <f>VLOOKUP(D56,Grade_Scale!$A:$G,5,FALSE)</f>
        <v>0.11</v>
      </c>
      <c r="AC56" s="18">
        <f t="shared" si="6"/>
        <v>46200</v>
      </c>
      <c r="AD56" t="str">
        <f t="shared" si="7"/>
        <v>Correct</v>
      </c>
    </row>
    <row r="57" spans="1:30" ht="15" customHeight="1" x14ac:dyDescent="0.25">
      <c r="A57" s="3" t="s">
        <v>158</v>
      </c>
      <c r="B57" s="9" t="s">
        <v>159</v>
      </c>
      <c r="C57" s="3" t="s">
        <v>57</v>
      </c>
      <c r="D57" s="3" t="s">
        <v>31</v>
      </c>
      <c r="E57" s="3" t="s">
        <v>72</v>
      </c>
      <c r="F57" s="13">
        <v>44172</v>
      </c>
      <c r="G57" s="3" t="s">
        <v>24</v>
      </c>
      <c r="H57" s="3" t="s">
        <v>25</v>
      </c>
      <c r="I57" s="17">
        <v>300000</v>
      </c>
      <c r="J57" s="21">
        <v>45000</v>
      </c>
      <c r="K57" s="25">
        <v>33000</v>
      </c>
      <c r="L57" s="28">
        <f t="shared" si="0"/>
        <v>222000</v>
      </c>
      <c r="M57" s="3">
        <v>21</v>
      </c>
      <c r="N57" s="3">
        <v>21</v>
      </c>
      <c r="O57">
        <v>0</v>
      </c>
      <c r="P57" s="3">
        <v>76</v>
      </c>
      <c r="Q57" s="3" t="s">
        <v>34</v>
      </c>
      <c r="R57" s="3">
        <v>17</v>
      </c>
      <c r="S57" s="9" t="s">
        <v>27</v>
      </c>
      <c r="T57" s="43" t="str">
        <f t="shared" si="1"/>
        <v>Exhausted</v>
      </c>
      <c r="U57" s="43" t="str">
        <f t="shared" si="2"/>
        <v>Good</v>
      </c>
      <c r="V57" s="48">
        <f t="shared" si="3"/>
        <v>2020</v>
      </c>
      <c r="W57" s="45" t="str">
        <f t="shared" si="4"/>
        <v>December</v>
      </c>
      <c r="X57" s="48">
        <f t="shared" ca="1" si="5"/>
        <v>5</v>
      </c>
      <c r="AA57" s="34" t="str">
        <f>VLOOKUP(Staff_Records!D57,Grade_Scale!$A:$G,2,FALSE)</f>
        <v>Senior Associate</v>
      </c>
      <c r="AB57">
        <f>VLOOKUP(D57,Grade_Scale!$A:$G,5,FALSE)</f>
        <v>0.1</v>
      </c>
      <c r="AC57" s="18">
        <f t="shared" si="6"/>
        <v>30000</v>
      </c>
      <c r="AD57" t="str">
        <f t="shared" si="7"/>
        <v>Mismatch</v>
      </c>
    </row>
    <row r="58" spans="1:30" ht="15" customHeight="1" x14ac:dyDescent="0.25">
      <c r="A58" s="2" t="s">
        <v>160</v>
      </c>
      <c r="B58" s="8" t="s">
        <v>161</v>
      </c>
      <c r="C58" s="2" t="s">
        <v>21</v>
      </c>
      <c r="D58" s="2" t="s">
        <v>22</v>
      </c>
      <c r="E58" s="2" t="s">
        <v>23</v>
      </c>
      <c r="F58" s="12">
        <v>43359</v>
      </c>
      <c r="G58" s="2" t="s">
        <v>24</v>
      </c>
      <c r="H58" s="2" t="s">
        <v>25</v>
      </c>
      <c r="I58" s="16">
        <v>410000</v>
      </c>
      <c r="J58" s="20">
        <v>61500</v>
      </c>
      <c r="K58" s="24">
        <v>45100</v>
      </c>
      <c r="L58" s="28">
        <f t="shared" si="0"/>
        <v>303400</v>
      </c>
      <c r="M58" s="2">
        <v>21</v>
      </c>
      <c r="N58" s="2">
        <v>7</v>
      </c>
      <c r="O58">
        <v>14</v>
      </c>
      <c r="P58" s="2">
        <v>88</v>
      </c>
      <c r="Q58" s="2" t="s">
        <v>26</v>
      </c>
      <c r="R58" s="2">
        <v>28</v>
      </c>
      <c r="S58" s="8" t="s">
        <v>27</v>
      </c>
      <c r="T58" s="43" t="str">
        <f t="shared" si="1"/>
        <v>Available</v>
      </c>
      <c r="U58" s="43" t="str">
        <f t="shared" si="2"/>
        <v>Excellent</v>
      </c>
      <c r="V58" s="48">
        <f t="shared" si="3"/>
        <v>2018</v>
      </c>
      <c r="W58" s="45" t="str">
        <f t="shared" si="4"/>
        <v>September</v>
      </c>
      <c r="X58" s="48">
        <f t="shared" ca="1" si="5"/>
        <v>7</v>
      </c>
      <c r="AA58" s="34" t="str">
        <f>VLOOKUP(Staff_Records!D58,Grade_Scale!$A:$G,2,FALSE)</f>
        <v>Manager</v>
      </c>
      <c r="AB58">
        <f>VLOOKUP(D58,Grade_Scale!$A:$G,5,FALSE)</f>
        <v>0.11</v>
      </c>
      <c r="AC58" s="18">
        <f t="shared" si="6"/>
        <v>45100</v>
      </c>
      <c r="AD58" t="str">
        <f t="shared" si="7"/>
        <v>Correct</v>
      </c>
    </row>
    <row r="59" spans="1:30" ht="15" customHeight="1" x14ac:dyDescent="0.25">
      <c r="A59" s="3" t="s">
        <v>162</v>
      </c>
      <c r="B59" s="9" t="s">
        <v>163</v>
      </c>
      <c r="C59" s="3" t="s">
        <v>37</v>
      </c>
      <c r="D59" s="3" t="s">
        <v>31</v>
      </c>
      <c r="E59" s="3" t="s">
        <v>64</v>
      </c>
      <c r="F59" s="13">
        <v>44382</v>
      </c>
      <c r="G59" s="3" t="s">
        <v>24</v>
      </c>
      <c r="H59" s="3" t="s">
        <v>33</v>
      </c>
      <c r="I59" s="17">
        <v>285000</v>
      </c>
      <c r="J59" s="21">
        <v>42750</v>
      </c>
      <c r="K59" s="25">
        <v>31350</v>
      </c>
      <c r="L59" s="28">
        <f t="shared" si="0"/>
        <v>210900</v>
      </c>
      <c r="M59" s="3">
        <v>21</v>
      </c>
      <c r="N59" s="3">
        <v>14</v>
      </c>
      <c r="O59">
        <v>7</v>
      </c>
      <c r="P59" s="3">
        <v>66</v>
      </c>
      <c r="Q59" s="3" t="s">
        <v>50</v>
      </c>
      <c r="R59" s="3">
        <v>12</v>
      </c>
      <c r="S59" s="9" t="s">
        <v>27</v>
      </c>
      <c r="T59" s="43" t="str">
        <f t="shared" si="1"/>
        <v>Available</v>
      </c>
      <c r="U59" s="43" t="str">
        <f t="shared" si="2"/>
        <v>NeedsImprovement</v>
      </c>
      <c r="V59" s="48">
        <f t="shared" si="3"/>
        <v>2021</v>
      </c>
      <c r="W59" s="45" t="str">
        <f t="shared" si="4"/>
        <v>July</v>
      </c>
      <c r="X59" s="48">
        <f t="shared" ca="1" si="5"/>
        <v>4</v>
      </c>
      <c r="AA59" s="34" t="str">
        <f>VLOOKUP(Staff_Records!D59,Grade_Scale!$A:$G,2,FALSE)</f>
        <v>Senior Associate</v>
      </c>
      <c r="AB59">
        <f>VLOOKUP(D59,Grade_Scale!$A:$G,5,FALSE)</f>
        <v>0.1</v>
      </c>
      <c r="AC59" s="18">
        <f t="shared" si="6"/>
        <v>28500</v>
      </c>
      <c r="AD59" t="str">
        <f t="shared" si="7"/>
        <v>Mismatch</v>
      </c>
    </row>
    <row r="60" spans="1:30" ht="15" customHeight="1" x14ac:dyDescent="0.25">
      <c r="A60" s="2" t="s">
        <v>164</v>
      </c>
      <c r="B60" s="8" t="s">
        <v>165</v>
      </c>
      <c r="C60" s="2" t="s">
        <v>30</v>
      </c>
      <c r="D60" s="2" t="s">
        <v>49</v>
      </c>
      <c r="E60" s="2" t="s">
        <v>32</v>
      </c>
      <c r="F60" s="12">
        <v>45026</v>
      </c>
      <c r="G60" s="2" t="s">
        <v>43</v>
      </c>
      <c r="H60" s="2" t="s">
        <v>25</v>
      </c>
      <c r="I60" s="16">
        <v>210000</v>
      </c>
      <c r="J60" s="20">
        <v>31500</v>
      </c>
      <c r="K60" s="24">
        <v>23100</v>
      </c>
      <c r="L60" s="28">
        <f t="shared" si="0"/>
        <v>155400</v>
      </c>
      <c r="M60" s="2">
        <v>14</v>
      </c>
      <c r="N60" s="2">
        <v>7</v>
      </c>
      <c r="O60">
        <v>7</v>
      </c>
      <c r="P60" s="2">
        <v>65</v>
      </c>
      <c r="Q60" s="2" t="s">
        <v>50</v>
      </c>
      <c r="R60" s="2">
        <v>10</v>
      </c>
      <c r="S60" s="8" t="s">
        <v>27</v>
      </c>
      <c r="T60" s="43" t="str">
        <f t="shared" si="1"/>
        <v>Available</v>
      </c>
      <c r="U60" s="43" t="str">
        <f t="shared" si="2"/>
        <v>NeedsImprovement</v>
      </c>
      <c r="V60" s="48">
        <f t="shared" si="3"/>
        <v>2023</v>
      </c>
      <c r="W60" s="45" t="str">
        <f t="shared" si="4"/>
        <v>April</v>
      </c>
      <c r="X60" s="48">
        <f t="shared" ca="1" si="5"/>
        <v>3</v>
      </c>
      <c r="AA60" s="34" t="str">
        <f>VLOOKUP(Staff_Records!D60,Grade_Scale!$A:$G,2,FALSE)</f>
        <v>Associate</v>
      </c>
      <c r="AB60">
        <f>VLOOKUP(D60,Grade_Scale!$A:$G,5,FALSE)</f>
        <v>0.08</v>
      </c>
      <c r="AC60" s="18">
        <f t="shared" si="6"/>
        <v>16800</v>
      </c>
      <c r="AD60" t="str">
        <f t="shared" si="7"/>
        <v>Mismatch</v>
      </c>
    </row>
    <row r="61" spans="1:30" ht="15" customHeight="1" x14ac:dyDescent="0.25">
      <c r="A61" s="3" t="s">
        <v>166</v>
      </c>
      <c r="B61" s="9" t="s">
        <v>167</v>
      </c>
      <c r="C61" s="3" t="s">
        <v>41</v>
      </c>
      <c r="D61" s="3" t="s">
        <v>38</v>
      </c>
      <c r="E61" s="3" t="s">
        <v>23</v>
      </c>
      <c r="F61" s="13">
        <v>42822</v>
      </c>
      <c r="G61" s="3" t="s">
        <v>24</v>
      </c>
      <c r="H61" s="3" t="s">
        <v>33</v>
      </c>
      <c r="I61" s="17">
        <v>570000</v>
      </c>
      <c r="J61" s="21">
        <v>85500</v>
      </c>
      <c r="K61" s="25">
        <v>62700</v>
      </c>
      <c r="L61" s="28">
        <f t="shared" si="0"/>
        <v>421800</v>
      </c>
      <c r="M61" s="3">
        <v>21</v>
      </c>
      <c r="N61" s="3">
        <v>14</v>
      </c>
      <c r="O61">
        <v>7</v>
      </c>
      <c r="P61" s="3">
        <v>0</v>
      </c>
      <c r="Q61" s="3" t="s">
        <v>58</v>
      </c>
      <c r="R61" s="3">
        <v>2</v>
      </c>
      <c r="S61" s="9" t="s">
        <v>27</v>
      </c>
      <c r="T61" s="43" t="str">
        <f t="shared" si="1"/>
        <v>Available</v>
      </c>
      <c r="U61" s="43" t="str">
        <f t="shared" si="2"/>
        <v>NeedsImprovement</v>
      </c>
      <c r="V61" s="48">
        <f t="shared" si="3"/>
        <v>2017</v>
      </c>
      <c r="W61" s="45" t="str">
        <f t="shared" si="4"/>
        <v>March</v>
      </c>
      <c r="X61" s="48">
        <f t="shared" ca="1" si="5"/>
        <v>9</v>
      </c>
      <c r="AA61" s="34" t="str">
        <f>VLOOKUP(Staff_Records!D61,Grade_Scale!$A:$G,2,FALSE)</f>
        <v>Senior Manager</v>
      </c>
      <c r="AB61">
        <f>VLOOKUP(D61,Grade_Scale!$A:$G,5,FALSE)</f>
        <v>0.11</v>
      </c>
      <c r="AC61" s="18">
        <f t="shared" si="6"/>
        <v>62700</v>
      </c>
      <c r="AD61" t="str">
        <f t="shared" si="7"/>
        <v>Correct</v>
      </c>
    </row>
    <row r="62" spans="1:30" ht="15" customHeight="1" x14ac:dyDescent="0.25">
      <c r="A62" s="2" t="s">
        <v>104</v>
      </c>
      <c r="B62" s="8" t="s">
        <v>105</v>
      </c>
      <c r="C62" s="2" t="s">
        <v>37</v>
      </c>
      <c r="D62" s="2" t="s">
        <v>22</v>
      </c>
      <c r="E62" s="2" t="s">
        <v>23</v>
      </c>
      <c r="F62" s="12">
        <v>43178</v>
      </c>
      <c r="G62" s="2" t="s">
        <v>24</v>
      </c>
      <c r="H62" s="2" t="s">
        <v>33</v>
      </c>
      <c r="I62" s="16">
        <v>395000</v>
      </c>
      <c r="J62" s="20">
        <v>59250</v>
      </c>
      <c r="K62" s="24">
        <v>43450</v>
      </c>
      <c r="L62" s="28">
        <f t="shared" si="0"/>
        <v>292300</v>
      </c>
      <c r="M62" s="2">
        <v>21</v>
      </c>
      <c r="N62" s="2">
        <v>21</v>
      </c>
      <c r="O62">
        <v>0</v>
      </c>
      <c r="P62" s="2">
        <v>82</v>
      </c>
      <c r="Q62" s="2" t="s">
        <v>34</v>
      </c>
      <c r="R62" s="2">
        <v>24</v>
      </c>
      <c r="S62" s="8" t="s">
        <v>27</v>
      </c>
      <c r="T62" s="43" t="str">
        <f t="shared" si="1"/>
        <v>Exhausted</v>
      </c>
      <c r="U62" s="43" t="str">
        <f t="shared" si="2"/>
        <v>Good</v>
      </c>
      <c r="V62" s="48">
        <f t="shared" si="3"/>
        <v>2018</v>
      </c>
      <c r="W62" s="45" t="str">
        <f t="shared" si="4"/>
        <v>March</v>
      </c>
      <c r="X62" s="48">
        <f t="shared" ca="1" si="5"/>
        <v>8</v>
      </c>
      <c r="AA62" s="34" t="str">
        <f>VLOOKUP(Staff_Records!D62,Grade_Scale!$A:$G,2,FALSE)</f>
        <v>Manager</v>
      </c>
      <c r="AB62">
        <f>VLOOKUP(D62,Grade_Scale!$A:$G,5,FALSE)</f>
        <v>0.11</v>
      </c>
      <c r="AC62" s="18">
        <f t="shared" si="6"/>
        <v>43450</v>
      </c>
      <c r="AD62" t="str">
        <f t="shared" si="7"/>
        <v>Correct</v>
      </c>
    </row>
    <row r="63" spans="1:30" ht="15" customHeight="1" x14ac:dyDescent="0.25">
      <c r="A63" s="3" t="s">
        <v>168</v>
      </c>
      <c r="B63" s="9" t="s">
        <v>169</v>
      </c>
      <c r="C63" s="3" t="s">
        <v>57</v>
      </c>
      <c r="D63" s="3" t="s">
        <v>22</v>
      </c>
      <c r="E63" s="3" t="s">
        <v>23</v>
      </c>
      <c r="F63" s="13">
        <v>43507</v>
      </c>
      <c r="G63" s="3" t="s">
        <v>24</v>
      </c>
      <c r="H63" s="3" t="s">
        <v>25</v>
      </c>
      <c r="I63" s="17">
        <v>385000</v>
      </c>
      <c r="J63" s="21">
        <v>57750</v>
      </c>
      <c r="K63" s="25">
        <v>42350</v>
      </c>
      <c r="L63" s="28">
        <f t="shared" si="0"/>
        <v>284900</v>
      </c>
      <c r="M63" s="3">
        <v>21</v>
      </c>
      <c r="N63" s="3">
        <v>21</v>
      </c>
      <c r="O63">
        <v>0</v>
      </c>
      <c r="P63" s="3">
        <v>83</v>
      </c>
      <c r="Q63" s="3" t="s">
        <v>34</v>
      </c>
      <c r="R63" s="3">
        <v>22</v>
      </c>
      <c r="S63" s="9" t="s">
        <v>27</v>
      </c>
      <c r="T63" s="43" t="str">
        <f t="shared" si="1"/>
        <v>Exhausted</v>
      </c>
      <c r="U63" s="43" t="str">
        <f t="shared" si="2"/>
        <v>Good</v>
      </c>
      <c r="V63" s="48">
        <f t="shared" si="3"/>
        <v>2019</v>
      </c>
      <c r="W63" s="45" t="str">
        <f t="shared" si="4"/>
        <v>February</v>
      </c>
      <c r="X63" s="48">
        <f t="shared" ca="1" si="5"/>
        <v>7</v>
      </c>
      <c r="AA63" s="34" t="str">
        <f>VLOOKUP(Staff_Records!D63,Grade_Scale!$A:$G,2,FALSE)</f>
        <v>Manager</v>
      </c>
      <c r="AB63">
        <f>VLOOKUP(D63,Grade_Scale!$A:$G,5,FALSE)</f>
        <v>0.11</v>
      </c>
      <c r="AC63" s="18">
        <f t="shared" si="6"/>
        <v>42350</v>
      </c>
      <c r="AD63" t="str">
        <f t="shared" si="7"/>
        <v>Correct</v>
      </c>
    </row>
    <row r="64" spans="1:30" ht="15" customHeight="1" x14ac:dyDescent="0.25">
      <c r="A64" s="2" t="s">
        <v>170</v>
      </c>
      <c r="B64" s="8" t="s">
        <v>171</v>
      </c>
      <c r="C64" s="2" t="s">
        <v>21</v>
      </c>
      <c r="D64" s="2" t="s">
        <v>38</v>
      </c>
      <c r="E64" s="2" t="s">
        <v>32</v>
      </c>
      <c r="F64" s="12">
        <v>42601</v>
      </c>
      <c r="G64" s="2" t="s">
        <v>24</v>
      </c>
      <c r="H64" s="2" t="s">
        <v>33</v>
      </c>
      <c r="I64" s="16">
        <v>600000</v>
      </c>
      <c r="J64" s="20">
        <v>90000</v>
      </c>
      <c r="K64" s="24">
        <v>66000</v>
      </c>
      <c r="L64" s="28">
        <f t="shared" si="0"/>
        <v>444000</v>
      </c>
      <c r="M64" s="2">
        <v>21</v>
      </c>
      <c r="N64" s="2">
        <v>7</v>
      </c>
      <c r="O64">
        <v>14</v>
      </c>
      <c r="P64" s="2">
        <v>90</v>
      </c>
      <c r="Q64" s="2" t="s">
        <v>26</v>
      </c>
      <c r="R64" s="2">
        <v>36</v>
      </c>
      <c r="S64" s="8" t="s">
        <v>27</v>
      </c>
      <c r="T64" s="43" t="str">
        <f t="shared" si="1"/>
        <v>Available</v>
      </c>
      <c r="U64" s="43" t="str">
        <f t="shared" si="2"/>
        <v>Excellent</v>
      </c>
      <c r="V64" s="48">
        <f t="shared" si="3"/>
        <v>2016</v>
      </c>
      <c r="W64" s="45" t="str">
        <f t="shared" si="4"/>
        <v>August</v>
      </c>
      <c r="X64" s="48">
        <f t="shared" ca="1" si="5"/>
        <v>9</v>
      </c>
      <c r="AA64" s="34" t="str">
        <f>VLOOKUP(Staff_Records!D64,Grade_Scale!$A:$G,2,FALSE)</f>
        <v>Senior Manager</v>
      </c>
      <c r="AB64">
        <f>VLOOKUP(D64,Grade_Scale!$A:$G,5,FALSE)</f>
        <v>0.11</v>
      </c>
      <c r="AC64" s="18">
        <f t="shared" si="6"/>
        <v>66000</v>
      </c>
      <c r="AD64" t="str">
        <f t="shared" si="7"/>
        <v>Correct</v>
      </c>
    </row>
    <row r="65" spans="1:30" ht="15" customHeight="1" x14ac:dyDescent="0.25">
      <c r="A65" s="3" t="s">
        <v>172</v>
      </c>
      <c r="B65" s="9" t="s">
        <v>173</v>
      </c>
      <c r="C65" s="3" t="s">
        <v>37</v>
      </c>
      <c r="D65" s="3" t="s">
        <v>31</v>
      </c>
      <c r="E65" s="3" t="s">
        <v>42</v>
      </c>
      <c r="F65" s="13">
        <v>44342</v>
      </c>
      <c r="G65" s="3" t="s">
        <v>24</v>
      </c>
      <c r="H65" s="3" t="s">
        <v>25</v>
      </c>
      <c r="I65" s="17">
        <v>295000</v>
      </c>
      <c r="J65" s="21">
        <v>44250</v>
      </c>
      <c r="K65" s="25">
        <v>32450</v>
      </c>
      <c r="L65" s="28">
        <f t="shared" si="0"/>
        <v>218300</v>
      </c>
      <c r="M65" s="3">
        <v>21</v>
      </c>
      <c r="N65" s="3">
        <v>7</v>
      </c>
      <c r="O65">
        <v>14</v>
      </c>
      <c r="P65" s="3">
        <v>75</v>
      </c>
      <c r="Q65" s="3" t="s">
        <v>34</v>
      </c>
      <c r="R65" s="3">
        <v>17</v>
      </c>
      <c r="S65" s="9" t="s">
        <v>27</v>
      </c>
      <c r="T65" s="43" t="str">
        <f t="shared" si="1"/>
        <v>Available</v>
      </c>
      <c r="U65" s="43" t="str">
        <f t="shared" si="2"/>
        <v>Good</v>
      </c>
      <c r="V65" s="48">
        <f t="shared" si="3"/>
        <v>2021</v>
      </c>
      <c r="W65" s="45" t="str">
        <f t="shared" si="4"/>
        <v>May</v>
      </c>
      <c r="X65" s="48">
        <f t="shared" ca="1" si="5"/>
        <v>4</v>
      </c>
      <c r="AA65" s="34" t="str">
        <f>VLOOKUP(Staff_Records!D65,Grade_Scale!$A:$G,2,FALSE)</f>
        <v>Senior Associate</v>
      </c>
      <c r="AB65">
        <f>VLOOKUP(D65,Grade_Scale!$A:$G,5,FALSE)</f>
        <v>0.1</v>
      </c>
      <c r="AC65" s="18">
        <f t="shared" si="6"/>
        <v>29500</v>
      </c>
      <c r="AD65" t="str">
        <f t="shared" si="7"/>
        <v>Mismatch</v>
      </c>
    </row>
    <row r="66" spans="1:30" ht="15" customHeight="1" x14ac:dyDescent="0.25">
      <c r="A66" s="2" t="s">
        <v>174</v>
      </c>
      <c r="B66" s="8" t="s">
        <v>175</v>
      </c>
      <c r="C66" s="2" t="s">
        <v>41</v>
      </c>
      <c r="D66" s="2" t="s">
        <v>22</v>
      </c>
      <c r="E66" s="2" t="s">
        <v>32</v>
      </c>
      <c r="F66" s="12">
        <v>43416</v>
      </c>
      <c r="G66" s="2" t="s">
        <v>24</v>
      </c>
      <c r="H66" s="2" t="s">
        <v>33</v>
      </c>
      <c r="I66" s="16">
        <v>415000</v>
      </c>
      <c r="J66" s="20">
        <v>62250</v>
      </c>
      <c r="K66" s="24">
        <v>45650</v>
      </c>
      <c r="L66" s="28">
        <f t="shared" si="0"/>
        <v>307100</v>
      </c>
      <c r="M66" s="2">
        <v>21</v>
      </c>
      <c r="N66" s="2">
        <v>14</v>
      </c>
      <c r="O66">
        <v>7</v>
      </c>
      <c r="P66" s="2">
        <v>81</v>
      </c>
      <c r="Q66" s="2" t="s">
        <v>34</v>
      </c>
      <c r="R66" s="2">
        <v>24</v>
      </c>
      <c r="S66" s="8" t="s">
        <v>27</v>
      </c>
      <c r="T66" s="43" t="str">
        <f t="shared" si="1"/>
        <v>Available</v>
      </c>
      <c r="U66" s="43" t="str">
        <f t="shared" si="2"/>
        <v>Good</v>
      </c>
      <c r="V66" s="48">
        <f t="shared" si="3"/>
        <v>2018</v>
      </c>
      <c r="W66" s="45" t="str">
        <f t="shared" si="4"/>
        <v>November</v>
      </c>
      <c r="X66" s="48">
        <f t="shared" ca="1" si="5"/>
        <v>7</v>
      </c>
      <c r="AA66" s="34" t="str">
        <f>VLOOKUP(Staff_Records!D66,Grade_Scale!$A:$G,2,FALSE)</f>
        <v>Manager</v>
      </c>
      <c r="AB66">
        <f>VLOOKUP(D66,Grade_Scale!$A:$G,5,FALSE)</f>
        <v>0.11</v>
      </c>
      <c r="AC66" s="18">
        <f t="shared" si="6"/>
        <v>45650</v>
      </c>
      <c r="AD66" t="str">
        <f t="shared" si="7"/>
        <v>Correct</v>
      </c>
    </row>
    <row r="67" spans="1:30" ht="15" customHeight="1" x14ac:dyDescent="0.25">
      <c r="A67" s="3" t="s">
        <v>176</v>
      </c>
      <c r="B67" s="9" t="s">
        <v>177</v>
      </c>
      <c r="C67" s="3" t="s">
        <v>178</v>
      </c>
      <c r="D67" s="3" t="s">
        <v>31</v>
      </c>
      <c r="E67" s="3" t="s">
        <v>79</v>
      </c>
      <c r="F67" s="13">
        <v>44119</v>
      </c>
      <c r="G67" s="3" t="s">
        <v>24</v>
      </c>
      <c r="H67" s="3" t="s">
        <v>25</v>
      </c>
      <c r="I67" s="17">
        <v>310000</v>
      </c>
      <c r="J67" s="21">
        <v>46500</v>
      </c>
      <c r="K67" s="25">
        <v>34100</v>
      </c>
      <c r="L67" s="28">
        <f t="shared" ref="L67" si="8">I67-J67-K67</f>
        <v>229400</v>
      </c>
      <c r="M67" s="3">
        <v>21</v>
      </c>
      <c r="N67" s="3">
        <v>0</v>
      </c>
      <c r="O67">
        <v>21</v>
      </c>
      <c r="P67" s="3">
        <v>0</v>
      </c>
      <c r="Q67" s="3" t="s">
        <v>58</v>
      </c>
      <c r="R67" s="3">
        <v>1</v>
      </c>
      <c r="S67" s="9" t="s">
        <v>118</v>
      </c>
      <c r="T67" s="43" t="str">
        <f t="shared" ref="T67" si="9">IF(O67 = 0, "Exhausted",IF(O67&lt;=5,"Low","Available"))</f>
        <v>Available</v>
      </c>
      <c r="U67" s="43" t="str">
        <f t="shared" ref="U67" si="10">IF(P67&gt;=85,"Excellent",IF(P67&gt;=70,"Good","NeedsImprovement"))</f>
        <v>NeedsImprovement</v>
      </c>
      <c r="V67" s="48">
        <f t="shared" ref="V67" si="11">YEAR(F:F)</f>
        <v>2020</v>
      </c>
      <c r="W67" s="45" t="str">
        <f t="shared" ref="W67" si="12">TEXT(F67,"MMMM")</f>
        <v>October</v>
      </c>
      <c r="X67" s="48">
        <f t="shared" ref="X67" ca="1" si="13">DATEDIF(F67,TODAY(),"Y")</f>
        <v>5</v>
      </c>
      <c r="AA67" s="34" t="str">
        <f>VLOOKUP(Staff_Records!D67,Grade_Scale!$A:$G,2,FALSE)</f>
        <v>Senior Associate</v>
      </c>
      <c r="AB67">
        <f>VLOOKUP(D67,Grade_Scale!$A:$G,5,FALSE)</f>
        <v>0.1</v>
      </c>
      <c r="AC67" s="18">
        <f t="shared" ref="AC67" si="14">I67*AB67</f>
        <v>31000</v>
      </c>
      <c r="AD67" t="str">
        <f t="shared" ref="AD67" si="15">IF(K:K =AC:AC, "Correct","Mismatch")</f>
        <v>Mismatch</v>
      </c>
    </row>
  </sheetData>
  <conditionalFormatting sqref="U1:U1048576">
    <cfRule type="containsText" dxfId="2" priority="5" operator="containsText" text="Excellent">
      <formula>NOT(ISERROR(SEARCH("Excellent",U1)))</formula>
    </cfRule>
    <cfRule type="containsText" dxfId="1" priority="4" operator="containsText" text="Excellent">
      <formula>NOT(ISERROR(SEARCH("Excellent",U1)))</formula>
    </cfRule>
  </conditionalFormatting>
  <conditionalFormatting sqref="O1:O1048576">
    <cfRule type="cellIs" dxfId="0" priority="1" operator="lessThan">
      <formula>7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8.5703125" defaultRowHeight="15" x14ac:dyDescent="0.25"/>
  <cols>
    <col min="1" max="1" width="12" customWidth="1"/>
    <col min="2" max="2" width="18" customWidth="1"/>
    <col min="3" max="4" width="16" customWidth="1"/>
    <col min="5" max="5" width="13" customWidth="1"/>
    <col min="6" max="6" width="10" customWidth="1"/>
    <col min="7" max="7" width="16" customWidth="1"/>
  </cols>
  <sheetData>
    <row r="1" spans="1:7" ht="30" customHeight="1" x14ac:dyDescent="0.25">
      <c r="A1" s="4" t="s">
        <v>3</v>
      </c>
      <c r="B1" s="4" t="s">
        <v>179</v>
      </c>
      <c r="C1" s="4" t="s">
        <v>180</v>
      </c>
      <c r="D1" s="4" t="s">
        <v>181</v>
      </c>
      <c r="E1" s="4" t="s">
        <v>182</v>
      </c>
      <c r="F1" s="4" t="s">
        <v>183</v>
      </c>
      <c r="G1" s="4" t="s">
        <v>184</v>
      </c>
    </row>
    <row r="2" spans="1:7" ht="15" customHeight="1" x14ac:dyDescent="0.25">
      <c r="A2" s="2" t="s">
        <v>185</v>
      </c>
      <c r="B2" s="5" t="s">
        <v>186</v>
      </c>
      <c r="C2" s="5">
        <v>80000</v>
      </c>
      <c r="D2" s="5">
        <v>149999</v>
      </c>
      <c r="E2" s="5">
        <v>0.08</v>
      </c>
      <c r="F2" s="5">
        <v>7.0000000000000007E-2</v>
      </c>
      <c r="G2" s="5">
        <v>14</v>
      </c>
    </row>
    <row r="3" spans="1:7" ht="15" customHeight="1" x14ac:dyDescent="0.25">
      <c r="A3" s="3" t="s">
        <v>49</v>
      </c>
      <c r="B3" s="6" t="s">
        <v>187</v>
      </c>
      <c r="C3" s="6">
        <v>150000</v>
      </c>
      <c r="D3" s="6">
        <v>249999</v>
      </c>
      <c r="E3" s="6">
        <v>0.08</v>
      </c>
      <c r="F3" s="6">
        <v>0.15</v>
      </c>
      <c r="G3" s="6">
        <v>21</v>
      </c>
    </row>
    <row r="4" spans="1:7" ht="15" customHeight="1" x14ac:dyDescent="0.25">
      <c r="A4" s="2" t="s">
        <v>31</v>
      </c>
      <c r="B4" s="5" t="s">
        <v>188</v>
      </c>
      <c r="C4" s="5">
        <v>250000</v>
      </c>
      <c r="D4" s="5">
        <v>349999</v>
      </c>
      <c r="E4" s="5">
        <v>0.1</v>
      </c>
      <c r="F4" s="5">
        <v>0.15</v>
      </c>
      <c r="G4" s="5">
        <v>21</v>
      </c>
    </row>
    <row r="5" spans="1:7" ht="15" customHeight="1" x14ac:dyDescent="0.25">
      <c r="A5" s="3" t="s">
        <v>22</v>
      </c>
      <c r="B5" s="6" t="s">
        <v>189</v>
      </c>
      <c r="C5" s="6">
        <v>350000</v>
      </c>
      <c r="D5" s="6">
        <v>499999</v>
      </c>
      <c r="E5" s="6">
        <v>0.11</v>
      </c>
      <c r="F5" s="6">
        <v>0.15</v>
      </c>
      <c r="G5" s="6">
        <v>21</v>
      </c>
    </row>
    <row r="6" spans="1:7" ht="15" customHeight="1" x14ac:dyDescent="0.25">
      <c r="A6" s="2" t="s">
        <v>38</v>
      </c>
      <c r="B6" s="5" t="s">
        <v>190</v>
      </c>
      <c r="C6" s="5">
        <v>500000</v>
      </c>
      <c r="D6" s="5">
        <v>699999</v>
      </c>
      <c r="E6" s="5">
        <v>0.11</v>
      </c>
      <c r="F6" s="5">
        <v>0.15</v>
      </c>
      <c r="G6" s="5">
        <v>21</v>
      </c>
    </row>
    <row r="7" spans="1:7" ht="15" customHeight="1" x14ac:dyDescent="0.25">
      <c r="A7" s="3" t="s">
        <v>61</v>
      </c>
      <c r="B7" s="6" t="s">
        <v>191</v>
      </c>
      <c r="C7" s="6">
        <v>700000</v>
      </c>
      <c r="D7" s="6">
        <v>1200000</v>
      </c>
      <c r="E7" s="6">
        <v>0.11</v>
      </c>
      <c r="F7" s="6">
        <v>0.15</v>
      </c>
      <c r="G7" s="6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Total_Net_Salary by Department</vt:lpstr>
      <vt:lpstr>Avg_Salary by Job_Grade</vt:lpstr>
      <vt:lpstr>Employee_Count by Location</vt:lpstr>
      <vt:lpstr>Performance_Distributio by Dept</vt:lpstr>
      <vt:lpstr>Total_Training_Hrs by Dept</vt:lpstr>
      <vt:lpstr>Staff_Records</vt:lpstr>
      <vt:lpstr>Grade_Scale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2026-04-09T21:57:24Z</dcterms:created>
  <dcterms:modified xsi:type="dcterms:W3CDTF">2026-04-15T12:34:19Z</dcterms:modified>
  <dc:language>en-US</dc:language>
</cp:coreProperties>
</file>